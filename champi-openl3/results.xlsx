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HP\OneDrive\Documentos\AD\U\2025-A\IA\Syntrack\champi-openl3\"/>
    </mc:Choice>
  </mc:AlternateContent>
  <xr:revisionPtr revIDLastSave="0" documentId="13_ncr:1_{3B33712C-EFB3-4AC1-833E-47C302CE5BA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Sheet1!$G$1:$G$213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3" i="1" l="1"/>
  <c r="I169" i="1"/>
  <c r="I153" i="1"/>
  <c r="I137" i="1"/>
  <c r="I119" i="1"/>
  <c r="I99" i="1"/>
  <c r="I14" i="1"/>
  <c r="I15" i="1"/>
  <c r="R7" i="1" s="1" a="1"/>
  <c r="R7" i="1" s="1"/>
  <c r="I172" i="1"/>
  <c r="I3" i="1"/>
  <c r="I154" i="1"/>
  <c r="I31" i="1"/>
  <c r="I44" i="1"/>
  <c r="I65" i="1"/>
  <c r="I180" i="1"/>
  <c r="I110" i="1"/>
  <c r="I147" i="1"/>
  <c r="I30" i="1"/>
  <c r="I41" i="1"/>
  <c r="I167" i="1"/>
  <c r="I118" i="1"/>
  <c r="I136" i="1"/>
  <c r="I151" i="1"/>
  <c r="I10" i="1"/>
  <c r="I47" i="1"/>
  <c r="I68" i="1"/>
  <c r="I84" i="1"/>
  <c r="I106" i="1"/>
  <c r="I126" i="1"/>
  <c r="I127" i="1"/>
  <c r="I145" i="1"/>
  <c r="I155" i="1"/>
  <c r="I18" i="1"/>
  <c r="I32" i="1"/>
  <c r="I33" i="1"/>
  <c r="I163" i="1"/>
  <c r="I161" i="1"/>
  <c r="I8" i="1"/>
  <c r="I16" i="1"/>
  <c r="I7" i="1"/>
  <c r="I39" i="1"/>
  <c r="I67" i="1"/>
  <c r="I49" i="1"/>
  <c r="I60" i="1"/>
  <c r="I80" i="1"/>
  <c r="I46" i="1"/>
  <c r="I162" i="1"/>
  <c r="I53" i="1"/>
  <c r="I175" i="1"/>
  <c r="I79" i="1"/>
  <c r="I55" i="1"/>
  <c r="I111" i="1"/>
  <c r="I34" i="1"/>
  <c r="I95" i="1"/>
  <c r="I179" i="1"/>
  <c r="I128" i="1"/>
  <c r="I70" i="1"/>
  <c r="I38" i="1"/>
  <c r="I50" i="1"/>
  <c r="I24" i="1"/>
  <c r="I28" i="1"/>
  <c r="I93" i="1"/>
  <c r="I85" i="1"/>
  <c r="I48" i="1"/>
  <c r="I43" i="1"/>
  <c r="I184" i="1"/>
  <c r="I181" i="1"/>
  <c r="I69" i="1"/>
  <c r="I149" i="1"/>
  <c r="I138" i="1"/>
  <c r="I87" i="1"/>
  <c r="I52" i="1"/>
  <c r="I89" i="1"/>
  <c r="I13" i="1"/>
  <c r="I178" i="1"/>
  <c r="I158" i="1"/>
  <c r="I109" i="1"/>
  <c r="I72" i="1"/>
  <c r="I22" i="1"/>
  <c r="I209" i="1"/>
  <c r="I139" i="1"/>
  <c r="I123" i="1"/>
  <c r="I104" i="1"/>
  <c r="I82" i="1"/>
  <c r="I42" i="1"/>
  <c r="I2" i="1"/>
  <c r="I4" i="1"/>
  <c r="I152" i="1"/>
  <c r="I62" i="1"/>
  <c r="I90" i="1"/>
  <c r="I200" i="1"/>
  <c r="I74" i="1"/>
  <c r="I177" i="1"/>
  <c r="I185" i="1"/>
  <c r="I108" i="1"/>
  <c r="I129" i="1"/>
  <c r="I140" i="1"/>
  <c r="I124" i="1"/>
  <c r="I196" i="1"/>
  <c r="I202" i="1"/>
  <c r="I206" i="1"/>
  <c r="I77" i="1"/>
  <c r="I59" i="1"/>
  <c r="I135" i="1"/>
  <c r="I195" i="1"/>
  <c r="I96" i="1"/>
  <c r="I64" i="1"/>
  <c r="I115" i="1"/>
  <c r="I37" i="1"/>
  <c r="I5" i="1"/>
  <c r="I208" i="1"/>
  <c r="I210" i="1"/>
  <c r="I92" i="1"/>
  <c r="I114" i="1"/>
  <c r="I130" i="1"/>
  <c r="I191" i="1"/>
  <c r="I19" i="1"/>
  <c r="I188" i="1"/>
  <c r="I187" i="1"/>
  <c r="I17" i="1"/>
  <c r="I102" i="1"/>
  <c r="I86" i="1"/>
  <c r="I94" i="1"/>
  <c r="I91" i="1"/>
  <c r="I36" i="1"/>
  <c r="I11" i="1"/>
  <c r="I75" i="1"/>
  <c r="I107" i="1"/>
  <c r="I12" i="1"/>
  <c r="I182" i="1"/>
  <c r="I27" i="1"/>
  <c r="I6" i="1"/>
  <c r="I194" i="1"/>
  <c r="I201" i="1"/>
  <c r="I166" i="1"/>
  <c r="I174" i="1"/>
  <c r="I190" i="1"/>
  <c r="I168" i="1"/>
  <c r="I23" i="1"/>
  <c r="I21" i="1"/>
  <c r="I204" i="1"/>
  <c r="I203" i="1"/>
  <c r="I197" i="1"/>
  <c r="I193" i="1"/>
  <c r="I131" i="1"/>
  <c r="I173" i="1"/>
  <c r="I156" i="1"/>
  <c r="I141" i="1"/>
  <c r="I120" i="1"/>
  <c r="I100" i="1"/>
  <c r="I198" i="1"/>
  <c r="I57" i="1"/>
  <c r="I58" i="1"/>
  <c r="I35" i="1"/>
  <c r="I150" i="1"/>
  <c r="I207" i="1"/>
  <c r="I61" i="1"/>
  <c r="I170" i="1"/>
  <c r="I171" i="1"/>
  <c r="I165" i="1"/>
  <c r="I148" i="1"/>
  <c r="I134" i="1"/>
  <c r="I116" i="1"/>
  <c r="I97" i="1"/>
  <c r="I73" i="1"/>
  <c r="I146" i="1"/>
  <c r="I160" i="1"/>
  <c r="I189" i="1"/>
  <c r="I192" i="1"/>
  <c r="I212" i="1"/>
  <c r="I213" i="1"/>
  <c r="I211" i="1"/>
  <c r="I205" i="1"/>
  <c r="I133" i="1"/>
  <c r="I117" i="1"/>
  <c r="I199" i="1"/>
  <c r="I76" i="1"/>
  <c r="I54" i="1"/>
  <c r="I29" i="1"/>
  <c r="I121" i="1"/>
  <c r="I103" i="1"/>
  <c r="I122" i="1"/>
  <c r="I105" i="1"/>
  <c r="I81" i="1"/>
  <c r="I63" i="1"/>
  <c r="I88" i="1"/>
  <c r="I51" i="1"/>
  <c r="I112" i="1"/>
  <c r="I113" i="1"/>
  <c r="I164" i="1"/>
  <c r="I144" i="1"/>
  <c r="I71" i="1"/>
  <c r="I98" i="1"/>
  <c r="I78" i="1"/>
  <c r="I56" i="1"/>
  <c r="I26" i="1"/>
  <c r="I101" i="1"/>
  <c r="I20" i="1"/>
  <c r="I142" i="1"/>
  <c r="I159" i="1"/>
  <c r="I186" i="1"/>
  <c r="I176" i="1"/>
  <c r="I157" i="1"/>
  <c r="I143" i="1"/>
  <c r="I125" i="1"/>
  <c r="I132" i="1"/>
  <c r="I83" i="1"/>
  <c r="I66" i="1"/>
  <c r="I45" i="1"/>
  <c r="I9" i="1"/>
  <c r="I25" i="1"/>
  <c r="I40" i="1"/>
  <c r="H169" i="1"/>
  <c r="H153" i="1"/>
  <c r="H14" i="1"/>
  <c r="H15" i="1"/>
  <c r="H3" i="1"/>
  <c r="H65" i="1"/>
  <c r="H180" i="1"/>
  <c r="H41" i="1"/>
  <c r="H167" i="1"/>
  <c r="H136" i="1"/>
  <c r="H68" i="1"/>
  <c r="H84" i="1"/>
  <c r="H145" i="1"/>
  <c r="H155" i="1"/>
  <c r="H32" i="1"/>
  <c r="H8" i="1"/>
  <c r="H16" i="1"/>
  <c r="H49" i="1"/>
  <c r="H60" i="1"/>
  <c r="H46" i="1"/>
  <c r="H79" i="1"/>
  <c r="H55" i="1"/>
  <c r="H179" i="1"/>
  <c r="H128" i="1"/>
  <c r="H38" i="1"/>
  <c r="H93" i="1"/>
  <c r="H85" i="1"/>
  <c r="H181" i="1"/>
  <c r="H69" i="1"/>
  <c r="H138" i="1"/>
  <c r="H13" i="1"/>
  <c r="H178" i="1"/>
  <c r="H22" i="1"/>
  <c r="H209" i="1"/>
  <c r="H123" i="1"/>
  <c r="H2" i="1"/>
  <c r="H4" i="1"/>
  <c r="H200" i="1"/>
  <c r="H74" i="1"/>
  <c r="H185" i="1"/>
  <c r="H124" i="1"/>
  <c r="H196" i="1"/>
  <c r="H59" i="1"/>
  <c r="H135" i="1"/>
  <c r="H96" i="1"/>
  <c r="H5" i="1"/>
  <c r="H208" i="1"/>
  <c r="H130" i="1"/>
  <c r="H191" i="1"/>
  <c r="H188" i="1"/>
  <c r="H86" i="1"/>
  <c r="H94" i="1"/>
  <c r="H75" i="1"/>
  <c r="H107" i="1"/>
  <c r="H182" i="1"/>
  <c r="H201" i="1"/>
  <c r="H166" i="1"/>
  <c r="H23" i="1"/>
  <c r="H21" i="1"/>
  <c r="H203" i="1"/>
  <c r="H173" i="1"/>
  <c r="H156" i="1"/>
  <c r="H198" i="1"/>
  <c r="H57" i="1"/>
  <c r="H35" i="1"/>
  <c r="H170" i="1"/>
  <c r="H171" i="1"/>
  <c r="H116" i="1"/>
  <c r="H97" i="1"/>
  <c r="H146" i="1"/>
  <c r="H212" i="1"/>
  <c r="H213" i="1"/>
  <c r="H117" i="1"/>
  <c r="H199" i="1"/>
  <c r="H54" i="1"/>
  <c r="H122" i="1"/>
  <c r="H105" i="1"/>
  <c r="H51" i="1"/>
  <c r="H112" i="1"/>
  <c r="H164" i="1"/>
  <c r="H78" i="1"/>
  <c r="H56" i="1"/>
  <c r="H142" i="1"/>
  <c r="H159" i="1"/>
  <c r="H176" i="1"/>
  <c r="H132" i="1"/>
  <c r="H83" i="1"/>
  <c r="H25" i="1"/>
  <c r="H40" i="1"/>
  <c r="G183" i="1"/>
  <c r="H183" i="1" s="1"/>
  <c r="G169" i="1"/>
  <c r="G153" i="1"/>
  <c r="G137" i="1"/>
  <c r="H137" i="1" s="1"/>
  <c r="G119" i="1"/>
  <c r="H119" i="1" s="1"/>
  <c r="G99" i="1"/>
  <c r="H99" i="1" s="1"/>
  <c r="G14" i="1"/>
  <c r="G15" i="1"/>
  <c r="G172" i="1"/>
  <c r="H172" i="1" s="1"/>
  <c r="G3" i="1"/>
  <c r="R1" i="1" s="1"/>
  <c r="G154" i="1"/>
  <c r="H154" i="1" s="1"/>
  <c r="G31" i="1"/>
  <c r="H31" i="1" s="1"/>
  <c r="G44" i="1"/>
  <c r="H44" i="1" s="1"/>
  <c r="G65" i="1"/>
  <c r="G180" i="1"/>
  <c r="G110" i="1"/>
  <c r="H110" i="1" s="1"/>
  <c r="G147" i="1"/>
  <c r="H147" i="1" s="1"/>
  <c r="G30" i="1"/>
  <c r="H30" i="1" s="1"/>
  <c r="G41" i="1"/>
  <c r="G167" i="1"/>
  <c r="G118" i="1"/>
  <c r="H118" i="1" s="1"/>
  <c r="G136" i="1"/>
  <c r="G151" i="1"/>
  <c r="H151" i="1" s="1"/>
  <c r="G10" i="1"/>
  <c r="H10" i="1" s="1"/>
  <c r="G47" i="1"/>
  <c r="H47" i="1" s="1"/>
  <c r="G68" i="1"/>
  <c r="G84" i="1"/>
  <c r="G106" i="1"/>
  <c r="H106" i="1" s="1"/>
  <c r="G126" i="1"/>
  <c r="H126" i="1" s="1"/>
  <c r="G127" i="1"/>
  <c r="H127" i="1" s="1"/>
  <c r="G145" i="1"/>
  <c r="G155" i="1"/>
  <c r="G18" i="1"/>
  <c r="H18" i="1" s="1"/>
  <c r="G32" i="1"/>
  <c r="G33" i="1"/>
  <c r="H33" i="1" s="1"/>
  <c r="G163" i="1"/>
  <c r="H163" i="1" s="1"/>
  <c r="G161" i="1"/>
  <c r="H161" i="1" s="1"/>
  <c r="G8" i="1"/>
  <c r="G16" i="1"/>
  <c r="G7" i="1"/>
  <c r="H7" i="1" s="1"/>
  <c r="G39" i="1"/>
  <c r="H39" i="1" s="1"/>
  <c r="G67" i="1"/>
  <c r="H67" i="1" s="1"/>
  <c r="G49" i="1"/>
  <c r="G60" i="1"/>
  <c r="G80" i="1"/>
  <c r="H80" i="1" s="1"/>
  <c r="G46" i="1"/>
  <c r="G162" i="1"/>
  <c r="H162" i="1" s="1"/>
  <c r="G53" i="1"/>
  <c r="H53" i="1" s="1"/>
  <c r="G175" i="1"/>
  <c r="H175" i="1" s="1"/>
  <c r="G79" i="1"/>
  <c r="G55" i="1"/>
  <c r="G111" i="1"/>
  <c r="H111" i="1" s="1"/>
  <c r="G34" i="1"/>
  <c r="H34" i="1" s="1"/>
  <c r="G95" i="1"/>
  <c r="H95" i="1" s="1"/>
  <c r="G179" i="1"/>
  <c r="G128" i="1"/>
  <c r="G70" i="1"/>
  <c r="H70" i="1" s="1"/>
  <c r="G38" i="1"/>
  <c r="G50" i="1"/>
  <c r="H50" i="1" s="1"/>
  <c r="G24" i="1"/>
  <c r="H24" i="1" s="1"/>
  <c r="G28" i="1"/>
  <c r="H28" i="1" s="1"/>
  <c r="G93" i="1"/>
  <c r="G85" i="1"/>
  <c r="G48" i="1"/>
  <c r="H48" i="1" s="1"/>
  <c r="G43" i="1"/>
  <c r="H43" i="1" s="1"/>
  <c r="G184" i="1"/>
  <c r="H184" i="1" s="1"/>
  <c r="G181" i="1"/>
  <c r="G69" i="1"/>
  <c r="G149" i="1"/>
  <c r="H149" i="1" s="1"/>
  <c r="G138" i="1"/>
  <c r="G87" i="1"/>
  <c r="H87" i="1" s="1"/>
  <c r="G52" i="1"/>
  <c r="H52" i="1" s="1"/>
  <c r="G89" i="1"/>
  <c r="H89" i="1" s="1"/>
  <c r="G13" i="1"/>
  <c r="G178" i="1"/>
  <c r="G158" i="1"/>
  <c r="H158" i="1" s="1"/>
  <c r="G109" i="1"/>
  <c r="H109" i="1" s="1"/>
  <c r="G72" i="1"/>
  <c r="H72" i="1" s="1"/>
  <c r="G22" i="1"/>
  <c r="G209" i="1"/>
  <c r="G139" i="1"/>
  <c r="H139" i="1" s="1"/>
  <c r="G123" i="1"/>
  <c r="G104" i="1"/>
  <c r="H104" i="1" s="1"/>
  <c r="G82" i="1"/>
  <c r="H82" i="1" s="1"/>
  <c r="G42" i="1"/>
  <c r="H42" i="1" s="1"/>
  <c r="G2" i="1"/>
  <c r="R6" i="1" s="1"/>
  <c r="G4" i="1"/>
  <c r="G152" i="1"/>
  <c r="H152" i="1" s="1"/>
  <c r="G62" i="1"/>
  <c r="H62" i="1" s="1"/>
  <c r="G90" i="1"/>
  <c r="H90" i="1" s="1"/>
  <c r="G200" i="1"/>
  <c r="G74" i="1"/>
  <c r="G177" i="1"/>
  <c r="H177" i="1" s="1"/>
  <c r="G185" i="1"/>
  <c r="G108" i="1"/>
  <c r="H108" i="1" s="1"/>
  <c r="G129" i="1"/>
  <c r="H129" i="1" s="1"/>
  <c r="G140" i="1"/>
  <c r="H140" i="1" s="1"/>
  <c r="G124" i="1"/>
  <c r="G196" i="1"/>
  <c r="G202" i="1"/>
  <c r="H202" i="1" s="1"/>
  <c r="G206" i="1"/>
  <c r="H206" i="1" s="1"/>
  <c r="G77" i="1"/>
  <c r="H77" i="1" s="1"/>
  <c r="G59" i="1"/>
  <c r="G135" i="1"/>
  <c r="G195" i="1"/>
  <c r="H195" i="1" s="1"/>
  <c r="G96" i="1"/>
  <c r="G64" i="1"/>
  <c r="H64" i="1" s="1"/>
  <c r="G115" i="1"/>
  <c r="H115" i="1" s="1"/>
  <c r="G37" i="1"/>
  <c r="H37" i="1" s="1"/>
  <c r="G5" i="1"/>
  <c r="G208" i="1"/>
  <c r="G210" i="1"/>
  <c r="H210" i="1" s="1"/>
  <c r="G92" i="1"/>
  <c r="H92" i="1" s="1"/>
  <c r="G114" i="1"/>
  <c r="H114" i="1" s="1"/>
  <c r="G130" i="1"/>
  <c r="G191" i="1"/>
  <c r="G19" i="1"/>
  <c r="H19" i="1" s="1"/>
  <c r="G188" i="1"/>
  <c r="G187" i="1"/>
  <c r="H187" i="1" s="1"/>
  <c r="G17" i="1"/>
  <c r="H17" i="1" s="1"/>
  <c r="G102" i="1"/>
  <c r="H102" i="1" s="1"/>
  <c r="G86" i="1"/>
  <c r="G94" i="1"/>
  <c r="G91" i="1"/>
  <c r="H91" i="1" s="1"/>
  <c r="G36" i="1"/>
  <c r="H36" i="1" s="1"/>
  <c r="G11" i="1"/>
  <c r="H11" i="1" s="1"/>
  <c r="G75" i="1"/>
  <c r="G107" i="1"/>
  <c r="G12" i="1"/>
  <c r="H12" i="1" s="1"/>
  <c r="G182" i="1"/>
  <c r="G27" i="1"/>
  <c r="H27" i="1" s="1"/>
  <c r="G6" i="1"/>
  <c r="H6" i="1" s="1"/>
  <c r="R2" i="1" s="1"/>
  <c r="G194" i="1"/>
  <c r="H194" i="1" s="1"/>
  <c r="G201" i="1"/>
  <c r="G166" i="1"/>
  <c r="G174" i="1"/>
  <c r="H174" i="1" s="1"/>
  <c r="G190" i="1"/>
  <c r="H190" i="1" s="1"/>
  <c r="G168" i="1"/>
  <c r="H168" i="1" s="1"/>
  <c r="G23" i="1"/>
  <c r="G21" i="1"/>
  <c r="G204" i="1"/>
  <c r="H204" i="1" s="1"/>
  <c r="G203" i="1"/>
  <c r="G197" i="1"/>
  <c r="H197" i="1" s="1"/>
  <c r="G193" i="1"/>
  <c r="H193" i="1" s="1"/>
  <c r="G131" i="1"/>
  <c r="H131" i="1" s="1"/>
  <c r="G173" i="1"/>
  <c r="G156" i="1"/>
  <c r="G141" i="1"/>
  <c r="H141" i="1" s="1"/>
  <c r="G120" i="1"/>
  <c r="H120" i="1" s="1"/>
  <c r="G100" i="1"/>
  <c r="H100" i="1" s="1"/>
  <c r="G198" i="1"/>
  <c r="G57" i="1"/>
  <c r="G58" i="1"/>
  <c r="H58" i="1" s="1"/>
  <c r="G35" i="1"/>
  <c r="G150" i="1"/>
  <c r="H150" i="1" s="1"/>
  <c r="G207" i="1"/>
  <c r="H207" i="1" s="1"/>
  <c r="G61" i="1"/>
  <c r="H61" i="1" s="1"/>
  <c r="G170" i="1"/>
  <c r="G171" i="1"/>
  <c r="G165" i="1"/>
  <c r="H165" i="1" s="1"/>
  <c r="G148" i="1"/>
  <c r="H148" i="1" s="1"/>
  <c r="G134" i="1"/>
  <c r="H134" i="1" s="1"/>
  <c r="G116" i="1"/>
  <c r="G97" i="1"/>
  <c r="G73" i="1"/>
  <c r="H73" i="1" s="1"/>
  <c r="G146" i="1"/>
  <c r="G160" i="1"/>
  <c r="H160" i="1" s="1"/>
  <c r="G189" i="1"/>
  <c r="H189" i="1" s="1"/>
  <c r="G192" i="1"/>
  <c r="H192" i="1" s="1"/>
  <c r="G212" i="1"/>
  <c r="G213" i="1"/>
  <c r="G211" i="1"/>
  <c r="H211" i="1" s="1"/>
  <c r="G205" i="1"/>
  <c r="H205" i="1" s="1"/>
  <c r="G133" i="1"/>
  <c r="H133" i="1" s="1"/>
  <c r="G117" i="1"/>
  <c r="G199" i="1"/>
  <c r="G76" i="1"/>
  <c r="H76" i="1" s="1"/>
  <c r="G54" i="1"/>
  <c r="G29" i="1"/>
  <c r="H29" i="1" s="1"/>
  <c r="G121" i="1"/>
  <c r="H121" i="1" s="1"/>
  <c r="G103" i="1"/>
  <c r="H103" i="1" s="1"/>
  <c r="G122" i="1"/>
  <c r="G105" i="1"/>
  <c r="G81" i="1"/>
  <c r="H81" i="1" s="1"/>
  <c r="G63" i="1"/>
  <c r="H63" i="1" s="1"/>
  <c r="G88" i="1"/>
  <c r="H88" i="1" s="1"/>
  <c r="G51" i="1"/>
  <c r="G112" i="1"/>
  <c r="G113" i="1"/>
  <c r="H113" i="1" s="1"/>
  <c r="G164" i="1"/>
  <c r="G144" i="1"/>
  <c r="H144" i="1" s="1"/>
  <c r="G71" i="1"/>
  <c r="H71" i="1" s="1"/>
  <c r="G98" i="1"/>
  <c r="H98" i="1" s="1"/>
  <c r="G78" i="1"/>
  <c r="G56" i="1"/>
  <c r="G26" i="1"/>
  <c r="H26" i="1" s="1"/>
  <c r="G101" i="1"/>
  <c r="H101" i="1" s="1"/>
  <c r="G20" i="1"/>
  <c r="H20" i="1" s="1"/>
  <c r="G142" i="1"/>
  <c r="G159" i="1"/>
  <c r="G186" i="1"/>
  <c r="H186" i="1" s="1"/>
  <c r="G176" i="1"/>
  <c r="G157" i="1"/>
  <c r="H157" i="1" s="1"/>
  <c r="G143" i="1"/>
  <c r="H143" i="1" s="1"/>
  <c r="G125" i="1"/>
  <c r="H125" i="1" s="1"/>
  <c r="G132" i="1"/>
  <c r="G83" i="1"/>
  <c r="G66" i="1"/>
  <c r="H66" i="1" s="1"/>
  <c r="G45" i="1"/>
  <c r="H45" i="1" s="1"/>
  <c r="G9" i="1"/>
  <c r="H9" i="1" s="1"/>
  <c r="G25" i="1"/>
  <c r="G40" i="1"/>
  <c r="R3" i="1" l="1"/>
  <c r="R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<sst xmlns="http://schemas.openxmlformats.org/spreadsheetml/2006/main" count="652" uniqueCount="63">
  <si>
    <t>audio_base</t>
  </si>
  <si>
    <t>carpeta</t>
  </si>
  <si>
    <t>archivo_clip</t>
  </si>
  <si>
    <t>segundo_inicio</t>
  </si>
  <si>
    <t>duracion_clip</t>
  </si>
  <si>
    <t>segundo_predecido</t>
  </si>
  <si>
    <t>bzrp_session_milo_j_bizarrap.mp3</t>
  </si>
  <si>
    <t>clips_david</t>
  </si>
  <si>
    <t>clip01</t>
  </si>
  <si>
    <t>clip02</t>
  </si>
  <si>
    <t>clip03</t>
  </si>
  <si>
    <t>clip04</t>
  </si>
  <si>
    <t>clip05</t>
  </si>
  <si>
    <t>clip06</t>
  </si>
  <si>
    <t>clip07</t>
  </si>
  <si>
    <t>clip08</t>
  </si>
  <si>
    <t>clip09</t>
  </si>
  <si>
    <t>clip10</t>
  </si>
  <si>
    <t>clip11</t>
  </si>
  <si>
    <t>clip12</t>
  </si>
  <si>
    <t>clips_youtube</t>
  </si>
  <si>
    <t>fruto_milo_j_bizarrap.mp3</t>
  </si>
  <si>
    <t>clip13</t>
  </si>
  <si>
    <t>clip14</t>
  </si>
  <si>
    <t>clip15</t>
  </si>
  <si>
    <t>clip16</t>
  </si>
  <si>
    <t>me_porto_bonito_bad_bunny.mp3</t>
  </si>
  <si>
    <t>clips_monse</t>
  </si>
  <si>
    <t>clip17</t>
  </si>
  <si>
    <t>clip18</t>
  </si>
  <si>
    <t>clip19</t>
  </si>
  <si>
    <t>clip20</t>
  </si>
  <si>
    <t>clip21</t>
  </si>
  <si>
    <t>clip22</t>
  </si>
  <si>
    <t>clip23</t>
  </si>
  <si>
    <t>clip24</t>
  </si>
  <si>
    <t>clip25</t>
  </si>
  <si>
    <t>clip26</t>
  </si>
  <si>
    <t>clip27</t>
  </si>
  <si>
    <t>clip28</t>
  </si>
  <si>
    <t>clip29</t>
  </si>
  <si>
    <t>clip30</t>
  </si>
  <si>
    <t>pastel_con_nutella_ysy_a.mp3</t>
  </si>
  <si>
    <t>clips_tiktok</t>
  </si>
  <si>
    <t>clips_camera</t>
  </si>
  <si>
    <t>clips_city_session</t>
  </si>
  <si>
    <t>enemy_imagine_dragons.mp3</t>
  </si>
  <si>
    <t>clips_chuncho</t>
  </si>
  <si>
    <t>yellow_coldplay.mp3</t>
  </si>
  <si>
    <t>clocks_coldplay.mp3</t>
  </si>
  <si>
    <t>chopsuey_system_of_a_down.mp3</t>
  </si>
  <si>
    <t>clips_nico</t>
  </si>
  <si>
    <t>tu_me_dejaste_de_querer_c_tangana.mp3</t>
  </si>
  <si>
    <t>Diferencia</t>
  </si>
  <si>
    <t>Dentro</t>
  </si>
  <si>
    <t>NO-ACIERTOS</t>
  </si>
  <si>
    <t>ACIERTOS</t>
  </si>
  <si>
    <t>ACCURACY</t>
  </si>
  <si>
    <t>umbral</t>
  </si>
  <si>
    <t>MAE</t>
  </si>
  <si>
    <t>total</t>
  </si>
  <si>
    <t>Diferencia_ABS</t>
  </si>
  <si>
    <t>RMSE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</si>
</sst>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13"/>
  <sheetViews>
    <sheetView tabSelected="1" workbookViewId="0">
      <selection activeCell="O23" sqref="O23"/>
    </sheetView>
  </sheetViews>
  <sheetFormatPr baseColWidth="10" defaultColWidth="9.140625" defaultRowHeight="15" x14ac:dyDescent="0.25"/>
  <cols>
    <col min="6" max="6" width="17.85546875" customWidth="1"/>
    <col min="9" max="9" width="11.85546875" bestFit="1" customWidth="1"/>
    <col min="18" max="18" width="11.8554687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61</v>
      </c>
      <c r="H1" s="2" t="s">
        <v>54</v>
      </c>
      <c r="I1" s="2" t="s">
        <v>53</v>
      </c>
      <c r="R1">
        <f>COUNT(G2:G213)</f>
        <v>212</v>
      </c>
      <c r="S1" t="s">
        <v>60</v>
      </c>
    </row>
    <row r="2" spans="1:19" x14ac:dyDescent="0.25">
      <c r="A2" t="s">
        <v>42</v>
      </c>
      <c r="B2" t="s">
        <v>43</v>
      </c>
      <c r="C2" t="s">
        <v>14</v>
      </c>
      <c r="D2">
        <v>99</v>
      </c>
      <c r="E2">
        <v>15</v>
      </c>
      <c r="F2">
        <v>99.4</v>
      </c>
      <c r="G2">
        <f>ABS(D2-F2)</f>
        <v>0.40000000000000568</v>
      </c>
      <c r="H2" t="str">
        <f>IF(G2&lt;=$R$5,"SI","NO")</f>
        <v>SI</v>
      </c>
      <c r="I2">
        <f>D2-F2</f>
        <v>-0.40000000000000568</v>
      </c>
      <c r="R2">
        <f>COUNTIF(H2:H213,"NO")</f>
        <v>172</v>
      </c>
      <c r="S2" t="s">
        <v>55</v>
      </c>
    </row>
    <row r="3" spans="1:19" x14ac:dyDescent="0.25">
      <c r="A3" t="s">
        <v>6</v>
      </c>
      <c r="B3" t="s">
        <v>7</v>
      </c>
      <c r="C3" t="s">
        <v>18</v>
      </c>
      <c r="D3">
        <v>150</v>
      </c>
      <c r="E3">
        <v>15</v>
      </c>
      <c r="F3">
        <v>149</v>
      </c>
      <c r="G3">
        <f>ABS(D3-F3)</f>
        <v>1</v>
      </c>
      <c r="H3" t="str">
        <f>IF(G3&lt;=$R$5,"SI","NO")</f>
        <v>SI</v>
      </c>
      <c r="I3">
        <f>D3-F3</f>
        <v>1</v>
      </c>
      <c r="R3">
        <f>COUNTIF(H2:H213,"SI")</f>
        <v>40</v>
      </c>
      <c r="S3" t="s">
        <v>56</v>
      </c>
    </row>
    <row r="4" spans="1:19" x14ac:dyDescent="0.25">
      <c r="A4" t="s">
        <v>42</v>
      </c>
      <c r="B4" t="s">
        <v>43</v>
      </c>
      <c r="C4" t="s">
        <v>15</v>
      </c>
      <c r="D4">
        <v>114</v>
      </c>
      <c r="E4">
        <v>15</v>
      </c>
      <c r="F4">
        <v>115</v>
      </c>
      <c r="G4">
        <f>ABS(D4-F4)</f>
        <v>1</v>
      </c>
      <c r="H4" t="str">
        <f>IF(G4&lt;=$R$5,"SI","NO")</f>
        <v>SI</v>
      </c>
      <c r="I4">
        <f>D4-F4</f>
        <v>-1</v>
      </c>
      <c r="R4">
        <f>R3/R2</f>
        <v>0.23255813953488372</v>
      </c>
      <c r="S4" t="s">
        <v>57</v>
      </c>
    </row>
    <row r="5" spans="1:19" x14ac:dyDescent="0.25">
      <c r="A5" t="s">
        <v>42</v>
      </c>
      <c r="B5" t="s">
        <v>45</v>
      </c>
      <c r="C5" t="s">
        <v>17</v>
      </c>
      <c r="D5">
        <v>145</v>
      </c>
      <c r="E5">
        <v>15</v>
      </c>
      <c r="F5">
        <v>143.9</v>
      </c>
      <c r="G5">
        <f>ABS(D5-F5)</f>
        <v>1.0999999999999943</v>
      </c>
      <c r="H5" t="str">
        <f>IF(G5&lt;=$R$5,"SI","NO")</f>
        <v>SI</v>
      </c>
      <c r="I5">
        <f>D5-F5</f>
        <v>1.0999999999999943</v>
      </c>
      <c r="R5">
        <v>15</v>
      </c>
      <c r="S5" t="s">
        <v>58</v>
      </c>
    </row>
    <row r="6" spans="1:19" x14ac:dyDescent="0.25">
      <c r="A6" t="s">
        <v>46</v>
      </c>
      <c r="B6" t="s">
        <v>20</v>
      </c>
      <c r="C6" t="s">
        <v>22</v>
      </c>
      <c r="D6">
        <v>158</v>
      </c>
      <c r="E6">
        <v>15</v>
      </c>
      <c r="F6">
        <v>156.80000000000001</v>
      </c>
      <c r="G6">
        <f>ABS(D6-F6)</f>
        <v>1.1999999999999886</v>
      </c>
      <c r="H6" t="str">
        <f>IF(G6&lt;=$R$5,"SI","NO")</f>
        <v>SI</v>
      </c>
      <c r="I6">
        <f>D6-F6</f>
        <v>1.1999999999999886</v>
      </c>
      <c r="R6">
        <f>AVERAGE(G2:G213)</f>
        <v>74.929245283018901</v>
      </c>
      <c r="S6" t="s">
        <v>59</v>
      </c>
    </row>
    <row r="7" spans="1:19" x14ac:dyDescent="0.25">
      <c r="A7" t="s">
        <v>21</v>
      </c>
      <c r="B7" t="s">
        <v>20</v>
      </c>
      <c r="C7" t="s">
        <v>14</v>
      </c>
      <c r="D7">
        <v>12</v>
      </c>
      <c r="E7">
        <v>15</v>
      </c>
      <c r="F7">
        <v>10.4</v>
      </c>
      <c r="G7">
        <f>ABS(D7-F7)</f>
        <v>1.5999999999999996</v>
      </c>
      <c r="H7" t="str">
        <f>IF(G7&lt;=$R$5,"SI","NO")</f>
        <v>SI</v>
      </c>
      <c r="I7">
        <f>D7-F7</f>
        <v>1.5999999999999996</v>
      </c>
      <c r="R7" cm="1">
        <f t="array" ref="R7">SQRT(AVERAGE(POWER(I2:I213,2)))</f>
        <v>95.88140571698014</v>
      </c>
      <c r="S7" t="s">
        <v>62</v>
      </c>
    </row>
    <row r="8" spans="1:19" x14ac:dyDescent="0.25">
      <c r="A8" t="s">
        <v>21</v>
      </c>
      <c r="B8" t="s">
        <v>20</v>
      </c>
      <c r="C8" t="s">
        <v>12</v>
      </c>
      <c r="D8">
        <v>-1</v>
      </c>
      <c r="E8">
        <v>15</v>
      </c>
      <c r="F8">
        <v>1.2</v>
      </c>
      <c r="G8">
        <f>ABS(D8-F8)</f>
        <v>2.2000000000000002</v>
      </c>
      <c r="H8" t="str">
        <f>IF(G8&lt;=$R$5,"SI","NO")</f>
        <v>SI</v>
      </c>
      <c r="I8">
        <f>D8-F8</f>
        <v>-2.2000000000000002</v>
      </c>
    </row>
    <row r="9" spans="1:19" x14ac:dyDescent="0.25">
      <c r="A9" t="s">
        <v>52</v>
      </c>
      <c r="B9" t="s">
        <v>20</v>
      </c>
      <c r="C9" t="s">
        <v>17</v>
      </c>
      <c r="D9">
        <v>153</v>
      </c>
      <c r="E9">
        <v>15</v>
      </c>
      <c r="F9">
        <v>155.6</v>
      </c>
      <c r="G9">
        <f>ABS(D9-F9)</f>
        <v>2.5999999999999943</v>
      </c>
      <c r="H9" t="str">
        <f>IF(G9&lt;=$R$5,"SI","NO")</f>
        <v>SI</v>
      </c>
      <c r="I9">
        <f>D9-F9</f>
        <v>-2.5999999999999943</v>
      </c>
    </row>
    <row r="10" spans="1:19" x14ac:dyDescent="0.25">
      <c r="A10" t="s">
        <v>21</v>
      </c>
      <c r="B10" t="s">
        <v>7</v>
      </c>
      <c r="C10" t="s">
        <v>8</v>
      </c>
      <c r="D10">
        <v>8</v>
      </c>
      <c r="E10">
        <v>15</v>
      </c>
      <c r="F10">
        <v>5.4</v>
      </c>
      <c r="G10">
        <f>ABS(D10-F10)</f>
        <v>2.5999999999999996</v>
      </c>
      <c r="H10" t="str">
        <f>IF(G10&lt;=$R$5,"SI","NO")</f>
        <v>SI</v>
      </c>
      <c r="I10">
        <f>D10-F10</f>
        <v>2.5999999999999996</v>
      </c>
    </row>
    <row r="11" spans="1:19" x14ac:dyDescent="0.25">
      <c r="A11" t="s">
        <v>46</v>
      </c>
      <c r="B11" t="s">
        <v>20</v>
      </c>
      <c r="C11" t="s">
        <v>14</v>
      </c>
      <c r="D11">
        <v>75</v>
      </c>
      <c r="E11">
        <v>15</v>
      </c>
      <c r="F11">
        <v>70.7</v>
      </c>
      <c r="G11">
        <f>ABS(D11-F11)</f>
        <v>4.2999999999999972</v>
      </c>
      <c r="H11" t="str">
        <f>IF(G11&lt;=$R$5,"SI","NO")</f>
        <v>SI</v>
      </c>
      <c r="I11">
        <f>D11-F11</f>
        <v>4.2999999999999972</v>
      </c>
    </row>
    <row r="12" spans="1:19" x14ac:dyDescent="0.25">
      <c r="A12" t="s">
        <v>46</v>
      </c>
      <c r="B12" t="s">
        <v>20</v>
      </c>
      <c r="C12" t="s">
        <v>17</v>
      </c>
      <c r="D12">
        <v>-1</v>
      </c>
      <c r="E12">
        <v>15</v>
      </c>
      <c r="F12">
        <v>3.8</v>
      </c>
      <c r="G12">
        <f>ABS(D12-F12)</f>
        <v>4.8</v>
      </c>
      <c r="H12" t="str">
        <f>IF(G12&lt;=$R$5,"SI","NO")</f>
        <v>SI</v>
      </c>
      <c r="I12">
        <f>D12-F12</f>
        <v>-4.8</v>
      </c>
    </row>
    <row r="13" spans="1:19" x14ac:dyDescent="0.25">
      <c r="A13" t="s">
        <v>26</v>
      </c>
      <c r="B13" t="s">
        <v>27</v>
      </c>
      <c r="C13" t="s">
        <v>36</v>
      </c>
      <c r="D13">
        <v>4</v>
      </c>
      <c r="E13">
        <v>20</v>
      </c>
      <c r="F13">
        <v>8.9</v>
      </c>
      <c r="G13">
        <f>ABS(D13-F13)</f>
        <v>4.9000000000000004</v>
      </c>
      <c r="H13" t="str">
        <f>IF(G13&lt;=$R$5,"SI","NO")</f>
        <v>SI</v>
      </c>
      <c r="I13">
        <f>D13-F13</f>
        <v>-4.9000000000000004</v>
      </c>
      <c r="O13" s="3"/>
    </row>
    <row r="14" spans="1:19" x14ac:dyDescent="0.25">
      <c r="A14" t="s">
        <v>6</v>
      </c>
      <c r="B14" t="s">
        <v>7</v>
      </c>
      <c r="C14" t="s">
        <v>15</v>
      </c>
      <c r="D14">
        <v>105</v>
      </c>
      <c r="E14">
        <v>15</v>
      </c>
      <c r="F14">
        <v>100</v>
      </c>
      <c r="G14">
        <f>ABS(D14-F14)</f>
        <v>5</v>
      </c>
      <c r="H14" t="str">
        <f>IF(G14&lt;=$R$5,"SI","NO")</f>
        <v>SI</v>
      </c>
      <c r="I14">
        <f>D14-F14</f>
        <v>5</v>
      </c>
    </row>
    <row r="15" spans="1:19" x14ac:dyDescent="0.25">
      <c r="A15" t="s">
        <v>6</v>
      </c>
      <c r="B15" t="s">
        <v>7</v>
      </c>
      <c r="C15" t="s">
        <v>16</v>
      </c>
      <c r="D15">
        <v>120</v>
      </c>
      <c r="E15">
        <v>15</v>
      </c>
      <c r="F15">
        <v>125</v>
      </c>
      <c r="G15">
        <f>ABS(D15-F15)</f>
        <v>5</v>
      </c>
      <c r="H15" t="str">
        <f>IF(G15&lt;=$R$5,"SI","NO")</f>
        <v>SI</v>
      </c>
      <c r="I15">
        <f>D15-F15</f>
        <v>-5</v>
      </c>
    </row>
    <row r="16" spans="1:19" x14ac:dyDescent="0.25">
      <c r="A16" t="s">
        <v>21</v>
      </c>
      <c r="B16" t="s">
        <v>20</v>
      </c>
      <c r="C16" t="s">
        <v>13</v>
      </c>
      <c r="D16">
        <v>0</v>
      </c>
      <c r="E16">
        <v>15</v>
      </c>
      <c r="F16">
        <v>5.4</v>
      </c>
      <c r="G16">
        <f>ABS(D16-F16)</f>
        <v>5.4</v>
      </c>
      <c r="H16" t="str">
        <f>IF(G16&lt;=$R$5,"SI","NO")</f>
        <v>SI</v>
      </c>
      <c r="I16">
        <f>D16-F16</f>
        <v>-5.4</v>
      </c>
    </row>
    <row r="17" spans="1:15" x14ac:dyDescent="0.25">
      <c r="A17" t="s">
        <v>46</v>
      </c>
      <c r="B17" t="s">
        <v>20</v>
      </c>
      <c r="C17" t="s">
        <v>8</v>
      </c>
      <c r="D17">
        <v>0</v>
      </c>
      <c r="E17">
        <v>15</v>
      </c>
      <c r="F17">
        <v>6</v>
      </c>
      <c r="G17">
        <f>ABS(D17-F17)</f>
        <v>6</v>
      </c>
      <c r="H17" t="str">
        <f>IF(G17&lt;=$R$5,"SI","NO")</f>
        <v>SI</v>
      </c>
      <c r="I17">
        <f>D17-F17</f>
        <v>-6</v>
      </c>
    </row>
    <row r="18" spans="1:15" x14ac:dyDescent="0.25">
      <c r="A18" t="s">
        <v>21</v>
      </c>
      <c r="B18" t="s">
        <v>7</v>
      </c>
      <c r="C18" t="s">
        <v>17</v>
      </c>
      <c r="D18">
        <v>-1</v>
      </c>
      <c r="E18">
        <v>15</v>
      </c>
      <c r="F18">
        <v>5.4</v>
      </c>
      <c r="G18">
        <f>ABS(D18-F18)</f>
        <v>6.4</v>
      </c>
      <c r="H18" t="str">
        <f>IF(G18&lt;=$R$5,"SI","NO")</f>
        <v>SI</v>
      </c>
      <c r="I18">
        <f>D18-F18</f>
        <v>-6.4</v>
      </c>
    </row>
    <row r="19" spans="1:15" x14ac:dyDescent="0.25">
      <c r="A19" t="s">
        <v>46</v>
      </c>
      <c r="B19" t="s">
        <v>47</v>
      </c>
      <c r="C19" t="s">
        <v>12</v>
      </c>
      <c r="D19">
        <v>-1</v>
      </c>
      <c r="E19">
        <v>15</v>
      </c>
      <c r="F19">
        <v>5.4</v>
      </c>
      <c r="G19">
        <f>ABS(D19-F19)</f>
        <v>6.4</v>
      </c>
      <c r="H19" t="str">
        <f>IF(G19&lt;=$R$5,"SI","NO")</f>
        <v>SI</v>
      </c>
      <c r="I19">
        <f>D19-F19</f>
        <v>-6.4</v>
      </c>
    </row>
    <row r="20" spans="1:15" x14ac:dyDescent="0.25">
      <c r="A20" t="s">
        <v>50</v>
      </c>
      <c r="B20" t="s">
        <v>20</v>
      </c>
      <c r="C20" t="s">
        <v>17</v>
      </c>
      <c r="D20">
        <v>153</v>
      </c>
      <c r="E20">
        <v>15</v>
      </c>
      <c r="F20">
        <v>159.80000000000001</v>
      </c>
      <c r="G20">
        <f>ABS(D20-F20)</f>
        <v>6.8000000000000114</v>
      </c>
      <c r="H20" t="str">
        <f>IF(G20&lt;=$R$5,"SI","NO")</f>
        <v>SI</v>
      </c>
      <c r="I20">
        <f>D20-F20</f>
        <v>-6.8000000000000114</v>
      </c>
    </row>
    <row r="21" spans="1:15" x14ac:dyDescent="0.25">
      <c r="A21" t="s">
        <v>48</v>
      </c>
      <c r="B21" t="s">
        <v>20</v>
      </c>
      <c r="C21" t="s">
        <v>10</v>
      </c>
      <c r="D21">
        <v>28</v>
      </c>
      <c r="E21">
        <v>15</v>
      </c>
      <c r="F21">
        <v>20.7</v>
      </c>
      <c r="G21">
        <f>ABS(D21-F21)</f>
        <v>7.3000000000000007</v>
      </c>
      <c r="H21" t="str">
        <f>IF(G21&lt;=$R$5,"SI","NO")</f>
        <v>SI</v>
      </c>
      <c r="I21">
        <f>D21-F21</f>
        <v>7.3000000000000007</v>
      </c>
    </row>
    <row r="22" spans="1:15" x14ac:dyDescent="0.25">
      <c r="A22" t="s">
        <v>26</v>
      </c>
      <c r="B22" t="s">
        <v>27</v>
      </c>
      <c r="C22" t="s">
        <v>41</v>
      </c>
      <c r="D22">
        <v>144</v>
      </c>
      <c r="E22">
        <v>20</v>
      </c>
      <c r="F22">
        <v>151.69999999999999</v>
      </c>
      <c r="G22">
        <f>ABS(D22-F22)</f>
        <v>7.6999999999999886</v>
      </c>
      <c r="H22" t="str">
        <f>IF(G22&lt;=$R$5,"SI","NO")</f>
        <v>SI</v>
      </c>
      <c r="I22">
        <f>D22-F22</f>
        <v>-7.6999999999999886</v>
      </c>
    </row>
    <row r="23" spans="1:15" x14ac:dyDescent="0.25">
      <c r="A23" t="s">
        <v>48</v>
      </c>
      <c r="B23" t="s">
        <v>20</v>
      </c>
      <c r="C23" t="s">
        <v>9</v>
      </c>
      <c r="D23">
        <v>13</v>
      </c>
      <c r="E23">
        <v>15</v>
      </c>
      <c r="F23">
        <v>20.7</v>
      </c>
      <c r="G23">
        <f>ABS(D23-F23)</f>
        <v>7.6999999999999993</v>
      </c>
      <c r="H23" t="str">
        <f>IF(G23&lt;=$R$5,"SI","NO")</f>
        <v>SI</v>
      </c>
      <c r="I23">
        <f>D23-F23</f>
        <v>-7.6999999999999993</v>
      </c>
      <c r="O23" s="3"/>
    </row>
    <row r="24" spans="1:15" x14ac:dyDescent="0.25">
      <c r="A24" t="s">
        <v>26</v>
      </c>
      <c r="B24" t="s">
        <v>27</v>
      </c>
      <c r="C24" t="s">
        <v>18</v>
      </c>
      <c r="D24">
        <v>8</v>
      </c>
      <c r="E24">
        <v>15</v>
      </c>
      <c r="F24">
        <v>16.5</v>
      </c>
      <c r="G24">
        <f>ABS(D24-F24)</f>
        <v>8.5</v>
      </c>
      <c r="H24" t="str">
        <f>IF(G24&lt;=$R$5,"SI","NO")</f>
        <v>SI</v>
      </c>
      <c r="I24">
        <f>D24-F24</f>
        <v>-8.5</v>
      </c>
    </row>
    <row r="25" spans="1:15" x14ac:dyDescent="0.25">
      <c r="A25" t="s">
        <v>52</v>
      </c>
      <c r="B25" t="s">
        <v>20</v>
      </c>
      <c r="C25" t="s">
        <v>18</v>
      </c>
      <c r="D25">
        <v>168</v>
      </c>
      <c r="E25">
        <v>10</v>
      </c>
      <c r="F25">
        <v>176.8</v>
      </c>
      <c r="G25">
        <f>ABS(D25-F25)</f>
        <v>8.8000000000000114</v>
      </c>
      <c r="H25" t="str">
        <f>IF(G25&lt;=$R$5,"SI","NO")</f>
        <v>SI</v>
      </c>
      <c r="I25">
        <f>D25-F25</f>
        <v>-8.8000000000000114</v>
      </c>
    </row>
    <row r="26" spans="1:15" x14ac:dyDescent="0.25">
      <c r="A26" t="s">
        <v>50</v>
      </c>
      <c r="B26" t="s">
        <v>20</v>
      </c>
      <c r="C26" t="s">
        <v>15</v>
      </c>
      <c r="D26">
        <v>119</v>
      </c>
      <c r="E26">
        <v>15</v>
      </c>
      <c r="F26">
        <v>127.9</v>
      </c>
      <c r="G26">
        <f>ABS(D26-F26)</f>
        <v>8.9000000000000057</v>
      </c>
      <c r="H26" t="str">
        <f>IF(G26&lt;=$R$5,"SI","NO")</f>
        <v>SI</v>
      </c>
      <c r="I26">
        <f>D26-F26</f>
        <v>-8.9000000000000057</v>
      </c>
    </row>
    <row r="27" spans="1:15" x14ac:dyDescent="0.25">
      <c r="A27" t="s">
        <v>46</v>
      </c>
      <c r="B27" t="s">
        <v>20</v>
      </c>
      <c r="C27" t="s">
        <v>19</v>
      </c>
      <c r="D27">
        <v>145</v>
      </c>
      <c r="E27">
        <v>15</v>
      </c>
      <c r="F27">
        <v>154.1</v>
      </c>
      <c r="G27">
        <f>ABS(D27-F27)</f>
        <v>9.0999999999999943</v>
      </c>
      <c r="H27" t="str">
        <f>IF(G27&lt;=$R$5,"SI","NO")</f>
        <v>SI</v>
      </c>
      <c r="I27">
        <f>D27-F27</f>
        <v>-9.0999999999999943</v>
      </c>
    </row>
    <row r="28" spans="1:15" x14ac:dyDescent="0.25">
      <c r="A28" t="s">
        <v>26</v>
      </c>
      <c r="B28" t="s">
        <v>27</v>
      </c>
      <c r="C28" t="s">
        <v>19</v>
      </c>
      <c r="D28">
        <v>22</v>
      </c>
      <c r="E28">
        <v>20</v>
      </c>
      <c r="F28">
        <v>12.6</v>
      </c>
      <c r="G28">
        <f>ABS(D28-F28)</f>
        <v>9.4</v>
      </c>
      <c r="H28" t="str">
        <f>IF(G28&lt;=$R$5,"SI","NO")</f>
        <v>SI</v>
      </c>
      <c r="I28">
        <f>D28-F28</f>
        <v>9.4</v>
      </c>
    </row>
    <row r="29" spans="1:15" x14ac:dyDescent="0.25">
      <c r="A29" t="s">
        <v>49</v>
      </c>
      <c r="B29" t="s">
        <v>20</v>
      </c>
      <c r="C29" t="s">
        <v>17</v>
      </c>
      <c r="D29">
        <v>121</v>
      </c>
      <c r="E29">
        <v>15</v>
      </c>
      <c r="F29">
        <v>130.80000000000001</v>
      </c>
      <c r="G29">
        <f>ABS(D29-F29)</f>
        <v>9.8000000000000114</v>
      </c>
      <c r="H29" t="str">
        <f>IF(G29&lt;=$R$5,"SI","NO")</f>
        <v>SI</v>
      </c>
      <c r="I29">
        <f>D29-F29</f>
        <v>-9.8000000000000114</v>
      </c>
    </row>
    <row r="30" spans="1:15" x14ac:dyDescent="0.25">
      <c r="A30" t="s">
        <v>6</v>
      </c>
      <c r="B30" t="s">
        <v>20</v>
      </c>
      <c r="C30" t="s">
        <v>14</v>
      </c>
      <c r="D30">
        <v>89</v>
      </c>
      <c r="E30">
        <v>15</v>
      </c>
      <c r="F30">
        <v>100</v>
      </c>
      <c r="G30">
        <f>ABS(D30-F30)</f>
        <v>11</v>
      </c>
      <c r="H30" t="str">
        <f>IF(G30&lt;=$R$5,"SI","NO")</f>
        <v>SI</v>
      </c>
      <c r="I30">
        <f>D30-F30</f>
        <v>-11</v>
      </c>
    </row>
    <row r="31" spans="1:15" x14ac:dyDescent="0.25">
      <c r="A31" t="s">
        <v>6</v>
      </c>
      <c r="B31" t="s">
        <v>20</v>
      </c>
      <c r="C31" t="s">
        <v>8</v>
      </c>
      <c r="D31">
        <v>3</v>
      </c>
      <c r="E31">
        <v>15</v>
      </c>
      <c r="F31">
        <v>14.3</v>
      </c>
      <c r="G31">
        <f>ABS(D31-F31)</f>
        <v>11.3</v>
      </c>
      <c r="H31" t="str">
        <f>IF(G31&lt;=$R$5,"SI","NO")</f>
        <v>SI</v>
      </c>
      <c r="I31">
        <f>D31-F31</f>
        <v>-11.3</v>
      </c>
    </row>
    <row r="32" spans="1:15" x14ac:dyDescent="0.25">
      <c r="A32" t="s">
        <v>21</v>
      </c>
      <c r="B32" t="s">
        <v>20</v>
      </c>
      <c r="C32" t="s">
        <v>8</v>
      </c>
      <c r="D32">
        <v>-1</v>
      </c>
      <c r="E32">
        <v>15</v>
      </c>
      <c r="F32">
        <v>10.4</v>
      </c>
      <c r="G32">
        <f>ABS(D32-F32)</f>
        <v>11.4</v>
      </c>
      <c r="H32" t="str">
        <f>IF(G32&lt;=$R$5,"SI","NO")</f>
        <v>SI</v>
      </c>
      <c r="I32">
        <f>D32-F32</f>
        <v>-11.4</v>
      </c>
    </row>
    <row r="33" spans="1:9" x14ac:dyDescent="0.25">
      <c r="A33" t="s">
        <v>21</v>
      </c>
      <c r="B33" t="s">
        <v>20</v>
      </c>
      <c r="C33" t="s">
        <v>9</v>
      </c>
      <c r="D33">
        <v>-1</v>
      </c>
      <c r="E33">
        <v>15</v>
      </c>
      <c r="F33">
        <v>10.4</v>
      </c>
      <c r="G33">
        <f>ABS(D33-F33)</f>
        <v>11.4</v>
      </c>
      <c r="H33" t="str">
        <f>IF(G33&lt;=$R$5,"SI","NO")</f>
        <v>SI</v>
      </c>
      <c r="I33">
        <f>D33-F33</f>
        <v>-11.4</v>
      </c>
    </row>
    <row r="34" spans="1:9" x14ac:dyDescent="0.25">
      <c r="A34" t="s">
        <v>26</v>
      </c>
      <c r="B34" t="s">
        <v>27</v>
      </c>
      <c r="C34" t="s">
        <v>11</v>
      </c>
      <c r="D34">
        <v>30</v>
      </c>
      <c r="E34">
        <v>15</v>
      </c>
      <c r="F34">
        <v>42.900000000000013</v>
      </c>
      <c r="G34">
        <f>ABS(D34-F34)</f>
        <v>12.900000000000013</v>
      </c>
      <c r="H34" t="str">
        <f>IF(G34&lt;=$R$5,"SI","NO")</f>
        <v>SI</v>
      </c>
      <c r="I34">
        <f>D34-F34</f>
        <v>-12.900000000000013</v>
      </c>
    </row>
    <row r="35" spans="1:9" x14ac:dyDescent="0.25">
      <c r="A35" t="s">
        <v>48</v>
      </c>
      <c r="B35" t="s">
        <v>20</v>
      </c>
      <c r="C35" t="s">
        <v>28</v>
      </c>
      <c r="D35">
        <v>230</v>
      </c>
      <c r="E35">
        <v>15</v>
      </c>
      <c r="F35">
        <v>243</v>
      </c>
      <c r="G35">
        <f>ABS(D35-F35)</f>
        <v>13</v>
      </c>
      <c r="H35" t="str">
        <f>IF(G35&lt;=$R$5,"SI","NO")</f>
        <v>SI</v>
      </c>
      <c r="I35">
        <f>D35-F35</f>
        <v>-13</v>
      </c>
    </row>
    <row r="36" spans="1:9" x14ac:dyDescent="0.25">
      <c r="A36" t="s">
        <v>46</v>
      </c>
      <c r="B36" t="s">
        <v>20</v>
      </c>
      <c r="C36" t="s">
        <v>13</v>
      </c>
      <c r="D36">
        <v>60</v>
      </c>
      <c r="E36">
        <v>15</v>
      </c>
      <c r="F36">
        <v>73.3</v>
      </c>
      <c r="G36">
        <f>ABS(D36-F36)</f>
        <v>13.299999999999997</v>
      </c>
      <c r="H36" t="str">
        <f>IF(G36&lt;=$R$5,"SI","NO")</f>
        <v>SI</v>
      </c>
      <c r="I36">
        <f>D36-F36</f>
        <v>-13.299999999999997</v>
      </c>
    </row>
    <row r="37" spans="1:9" x14ac:dyDescent="0.25">
      <c r="A37" t="s">
        <v>42</v>
      </c>
      <c r="B37" t="s">
        <v>45</v>
      </c>
      <c r="C37" t="s">
        <v>16</v>
      </c>
      <c r="D37">
        <v>130</v>
      </c>
      <c r="E37">
        <v>15</v>
      </c>
      <c r="F37">
        <v>143.6</v>
      </c>
      <c r="G37">
        <f>ABS(D37-F37)</f>
        <v>13.599999999999994</v>
      </c>
      <c r="H37" t="str">
        <f>IF(G37&lt;=$R$5,"SI","NO")</f>
        <v>SI</v>
      </c>
      <c r="I37">
        <f>D37-F37</f>
        <v>-13.599999999999994</v>
      </c>
    </row>
    <row r="38" spans="1:9" x14ac:dyDescent="0.25">
      <c r="A38" t="s">
        <v>26</v>
      </c>
      <c r="B38" t="s">
        <v>27</v>
      </c>
      <c r="C38" t="s">
        <v>16</v>
      </c>
      <c r="D38">
        <v>28</v>
      </c>
      <c r="E38">
        <v>15</v>
      </c>
      <c r="F38">
        <v>14.4</v>
      </c>
      <c r="G38">
        <f>ABS(D38-F38)</f>
        <v>13.6</v>
      </c>
      <c r="H38" t="str">
        <f>IF(G38&lt;=$R$5,"SI","NO")</f>
        <v>SI</v>
      </c>
      <c r="I38">
        <f>D38-F38</f>
        <v>13.6</v>
      </c>
    </row>
    <row r="39" spans="1:9" x14ac:dyDescent="0.25">
      <c r="A39" t="s">
        <v>21</v>
      </c>
      <c r="B39" t="s">
        <v>20</v>
      </c>
      <c r="C39" t="s">
        <v>15</v>
      </c>
      <c r="D39">
        <v>30</v>
      </c>
      <c r="E39">
        <v>15</v>
      </c>
      <c r="F39">
        <v>44.2</v>
      </c>
      <c r="G39">
        <f>ABS(D39-F39)</f>
        <v>14.200000000000003</v>
      </c>
      <c r="H39" t="str">
        <f>IF(G39&lt;=$R$5,"SI","NO")</f>
        <v>SI</v>
      </c>
      <c r="I39">
        <f>D39-F39</f>
        <v>-14.200000000000003</v>
      </c>
    </row>
    <row r="40" spans="1:9" x14ac:dyDescent="0.25">
      <c r="A40" t="s">
        <v>6</v>
      </c>
      <c r="B40" t="s">
        <v>7</v>
      </c>
      <c r="C40" t="s">
        <v>8</v>
      </c>
      <c r="D40">
        <v>0</v>
      </c>
      <c r="E40">
        <v>15</v>
      </c>
      <c r="F40">
        <v>14.3</v>
      </c>
      <c r="G40">
        <f>ABS(D40-F40)</f>
        <v>14.3</v>
      </c>
      <c r="H40" t="str">
        <f>IF(G40&lt;=$R$5,"SI","NO")</f>
        <v>SI</v>
      </c>
      <c r="I40">
        <f>D40-F40</f>
        <v>-14.3</v>
      </c>
    </row>
    <row r="41" spans="1:9" x14ac:dyDescent="0.25">
      <c r="A41" t="s">
        <v>6</v>
      </c>
      <c r="B41" t="s">
        <v>20</v>
      </c>
      <c r="C41" t="s">
        <v>15</v>
      </c>
      <c r="D41">
        <v>103</v>
      </c>
      <c r="E41">
        <v>15</v>
      </c>
      <c r="F41">
        <v>117.6</v>
      </c>
      <c r="G41">
        <f>ABS(D41-F41)</f>
        <v>14.599999999999994</v>
      </c>
      <c r="H41" t="str">
        <f>IF(G41&lt;=$R$5,"SI","NO")</f>
        <v>SI</v>
      </c>
      <c r="I41">
        <f>D41-F41</f>
        <v>-14.599999999999994</v>
      </c>
    </row>
    <row r="42" spans="1:9" x14ac:dyDescent="0.25">
      <c r="A42" t="s">
        <v>42</v>
      </c>
      <c r="B42" t="s">
        <v>43</v>
      </c>
      <c r="C42" t="s">
        <v>13</v>
      </c>
      <c r="D42">
        <v>84</v>
      </c>
      <c r="E42">
        <v>15</v>
      </c>
      <c r="F42">
        <v>99.4</v>
      </c>
      <c r="G42">
        <f>ABS(D42-F42)</f>
        <v>15.400000000000006</v>
      </c>
      <c r="H42" t="str">
        <f>IF(G42&lt;=$R$5,"SI","NO")</f>
        <v>NO</v>
      </c>
      <c r="I42">
        <f>D42-F42</f>
        <v>-15.400000000000006</v>
      </c>
    </row>
    <row r="43" spans="1:9" x14ac:dyDescent="0.25">
      <c r="A43" t="s">
        <v>26</v>
      </c>
      <c r="B43" t="s">
        <v>27</v>
      </c>
      <c r="C43" t="s">
        <v>25</v>
      </c>
      <c r="D43">
        <v>112</v>
      </c>
      <c r="E43">
        <v>30</v>
      </c>
      <c r="F43">
        <v>95.9</v>
      </c>
      <c r="G43">
        <f>ABS(D43-F43)</f>
        <v>16.099999999999994</v>
      </c>
      <c r="H43" t="str">
        <f>IF(G43&lt;=$R$5,"SI","NO")</f>
        <v>NO</v>
      </c>
      <c r="I43">
        <f>D43-F43</f>
        <v>16.099999999999994</v>
      </c>
    </row>
    <row r="44" spans="1:9" x14ac:dyDescent="0.25">
      <c r="A44" t="s">
        <v>6</v>
      </c>
      <c r="B44" t="s">
        <v>20</v>
      </c>
      <c r="C44" t="s">
        <v>9</v>
      </c>
      <c r="D44">
        <v>18</v>
      </c>
      <c r="E44">
        <v>15</v>
      </c>
      <c r="F44">
        <v>34.4</v>
      </c>
      <c r="G44">
        <f>ABS(D44-F44)</f>
        <v>16.399999999999999</v>
      </c>
      <c r="H44" t="str">
        <f>IF(G44&lt;=$R$5,"SI","NO")</f>
        <v>NO</v>
      </c>
      <c r="I44">
        <f>D44-F44</f>
        <v>-16.399999999999999</v>
      </c>
    </row>
    <row r="45" spans="1:9" x14ac:dyDescent="0.25">
      <c r="A45" t="s">
        <v>52</v>
      </c>
      <c r="B45" t="s">
        <v>20</v>
      </c>
      <c r="C45" t="s">
        <v>16</v>
      </c>
      <c r="D45">
        <v>138</v>
      </c>
      <c r="E45">
        <v>15</v>
      </c>
      <c r="F45">
        <v>155.6</v>
      </c>
      <c r="G45">
        <f>ABS(D45-F45)</f>
        <v>17.599999999999994</v>
      </c>
      <c r="H45" t="str">
        <f>IF(G45&lt;=$R$5,"SI","NO")</f>
        <v>NO</v>
      </c>
      <c r="I45">
        <f>D45-F45</f>
        <v>-17.599999999999994</v>
      </c>
    </row>
    <row r="46" spans="1:9" x14ac:dyDescent="0.25">
      <c r="A46" t="s">
        <v>21</v>
      </c>
      <c r="B46" t="s">
        <v>20</v>
      </c>
      <c r="C46" t="s">
        <v>22</v>
      </c>
      <c r="D46">
        <v>103</v>
      </c>
      <c r="E46">
        <v>15</v>
      </c>
      <c r="F46">
        <v>120.9</v>
      </c>
      <c r="G46">
        <f>ABS(D46-F46)</f>
        <v>17.900000000000006</v>
      </c>
      <c r="H46" t="str">
        <f>IF(G46&lt;=$R$5,"SI","NO")</f>
        <v>NO</v>
      </c>
      <c r="I46">
        <f>D46-F46</f>
        <v>-17.900000000000006</v>
      </c>
    </row>
    <row r="47" spans="1:9" x14ac:dyDescent="0.25">
      <c r="A47" t="s">
        <v>21</v>
      </c>
      <c r="B47" t="s">
        <v>7</v>
      </c>
      <c r="C47" t="s">
        <v>9</v>
      </c>
      <c r="D47">
        <v>24</v>
      </c>
      <c r="E47">
        <v>15</v>
      </c>
      <c r="F47">
        <v>5.4</v>
      </c>
      <c r="G47">
        <f>ABS(D47-F47)</f>
        <v>18.600000000000001</v>
      </c>
      <c r="H47" t="str">
        <f>IF(G47&lt;=$R$5,"SI","NO")</f>
        <v>NO</v>
      </c>
      <c r="I47">
        <f>D47-F47</f>
        <v>18.600000000000001</v>
      </c>
    </row>
    <row r="48" spans="1:9" x14ac:dyDescent="0.25">
      <c r="A48" t="s">
        <v>26</v>
      </c>
      <c r="B48" t="s">
        <v>27</v>
      </c>
      <c r="C48" t="s">
        <v>24</v>
      </c>
      <c r="D48">
        <v>83</v>
      </c>
      <c r="E48">
        <v>30</v>
      </c>
      <c r="F48">
        <v>103.7</v>
      </c>
      <c r="G48">
        <f>ABS(D48-F48)</f>
        <v>20.700000000000003</v>
      </c>
      <c r="H48" t="str">
        <f>IF(G48&lt;=$R$5,"SI","NO")</f>
        <v>NO</v>
      </c>
      <c r="I48">
        <f>D48-F48</f>
        <v>-20.700000000000003</v>
      </c>
    </row>
    <row r="49" spans="1:9" x14ac:dyDescent="0.25">
      <c r="A49" t="s">
        <v>21</v>
      </c>
      <c r="B49" t="s">
        <v>20</v>
      </c>
      <c r="C49" t="s">
        <v>17</v>
      </c>
      <c r="D49">
        <v>59</v>
      </c>
      <c r="E49">
        <v>15</v>
      </c>
      <c r="F49">
        <v>80.800000000000011</v>
      </c>
      <c r="G49">
        <f>ABS(D49-F49)</f>
        <v>21.800000000000011</v>
      </c>
      <c r="H49" t="str">
        <f>IF(G49&lt;=$R$5,"SI","NO")</f>
        <v>NO</v>
      </c>
      <c r="I49">
        <f>D49-F49</f>
        <v>-21.800000000000011</v>
      </c>
    </row>
    <row r="50" spans="1:9" x14ac:dyDescent="0.25">
      <c r="A50" t="s">
        <v>26</v>
      </c>
      <c r="B50" t="s">
        <v>27</v>
      </c>
      <c r="C50" t="s">
        <v>17</v>
      </c>
      <c r="D50">
        <v>43</v>
      </c>
      <c r="E50">
        <v>14</v>
      </c>
      <c r="F50">
        <v>20.2</v>
      </c>
      <c r="G50">
        <f>ABS(D50-F50)</f>
        <v>22.8</v>
      </c>
      <c r="H50" t="str">
        <f>IF(G50&lt;=$R$5,"SI","NO")</f>
        <v>NO</v>
      </c>
      <c r="I50">
        <f>D50-F50</f>
        <v>22.8</v>
      </c>
    </row>
    <row r="51" spans="1:9" x14ac:dyDescent="0.25">
      <c r="A51" t="s">
        <v>49</v>
      </c>
      <c r="B51" t="s">
        <v>20</v>
      </c>
      <c r="C51" t="s">
        <v>29</v>
      </c>
      <c r="D51">
        <v>283</v>
      </c>
      <c r="E51">
        <v>15</v>
      </c>
      <c r="F51">
        <v>306.39999999999998</v>
      </c>
      <c r="G51">
        <f>ABS(D51-F51)</f>
        <v>23.399999999999977</v>
      </c>
      <c r="H51" t="str">
        <f>IF(G51&lt;=$R$5,"SI","NO")</f>
        <v>NO</v>
      </c>
      <c r="I51">
        <f>D51-F51</f>
        <v>-23.399999999999977</v>
      </c>
    </row>
    <row r="52" spans="1:9" x14ac:dyDescent="0.25">
      <c r="A52" t="s">
        <v>26</v>
      </c>
      <c r="B52" t="s">
        <v>27</v>
      </c>
      <c r="C52" t="s">
        <v>34</v>
      </c>
      <c r="D52">
        <v>128</v>
      </c>
      <c r="E52">
        <v>25</v>
      </c>
      <c r="F52">
        <v>151.69999999999999</v>
      </c>
      <c r="G52">
        <f>ABS(D52-F52)</f>
        <v>23.699999999999989</v>
      </c>
      <c r="H52" t="str">
        <f>IF(G52&lt;=$R$5,"SI","NO")</f>
        <v>NO</v>
      </c>
      <c r="I52">
        <f>D52-F52</f>
        <v>-23.699999999999989</v>
      </c>
    </row>
    <row r="53" spans="1:9" x14ac:dyDescent="0.25">
      <c r="A53" t="s">
        <v>21</v>
      </c>
      <c r="B53" t="s">
        <v>20</v>
      </c>
      <c r="C53" t="s">
        <v>24</v>
      </c>
      <c r="D53">
        <v>-1</v>
      </c>
      <c r="E53">
        <v>15</v>
      </c>
      <c r="F53">
        <v>22.8</v>
      </c>
      <c r="G53">
        <f>ABS(D53-F53)</f>
        <v>23.8</v>
      </c>
      <c r="H53" t="str">
        <f>IF(G53&lt;=$R$5,"SI","NO")</f>
        <v>NO</v>
      </c>
      <c r="I53">
        <f>D53-F53</f>
        <v>-23.8</v>
      </c>
    </row>
    <row r="54" spans="1:9" x14ac:dyDescent="0.25">
      <c r="A54" t="s">
        <v>49</v>
      </c>
      <c r="B54" t="s">
        <v>20</v>
      </c>
      <c r="C54" t="s">
        <v>16</v>
      </c>
      <c r="D54">
        <v>105</v>
      </c>
      <c r="E54">
        <v>15</v>
      </c>
      <c r="F54">
        <v>130.6</v>
      </c>
      <c r="G54">
        <f>ABS(D54-F54)</f>
        <v>25.599999999999994</v>
      </c>
      <c r="H54" t="str">
        <f>IF(G54&lt;=$R$5,"SI","NO")</f>
        <v>NO</v>
      </c>
      <c r="I54">
        <f>D54-F54</f>
        <v>-25.599999999999994</v>
      </c>
    </row>
    <row r="55" spans="1:9" x14ac:dyDescent="0.25">
      <c r="A55" t="s">
        <v>26</v>
      </c>
      <c r="B55" t="s">
        <v>27</v>
      </c>
      <c r="C55" t="s">
        <v>9</v>
      </c>
      <c r="D55">
        <v>29</v>
      </c>
      <c r="E55">
        <v>20</v>
      </c>
      <c r="F55">
        <v>3.1</v>
      </c>
      <c r="G55">
        <f>ABS(D55-F55)</f>
        <v>25.9</v>
      </c>
      <c r="H55" t="str">
        <f>IF(G55&lt;=$R$5,"SI","NO")</f>
        <v>NO</v>
      </c>
      <c r="I55">
        <f>D55-F55</f>
        <v>25.9</v>
      </c>
    </row>
    <row r="56" spans="1:9" x14ac:dyDescent="0.25">
      <c r="A56" t="s">
        <v>50</v>
      </c>
      <c r="B56" t="s">
        <v>20</v>
      </c>
      <c r="C56" t="s">
        <v>14</v>
      </c>
      <c r="D56">
        <v>102</v>
      </c>
      <c r="E56">
        <v>15</v>
      </c>
      <c r="F56">
        <v>127.9</v>
      </c>
      <c r="G56">
        <f>ABS(D56-F56)</f>
        <v>25.900000000000006</v>
      </c>
      <c r="H56" t="str">
        <f>IF(G56&lt;=$R$5,"SI","NO")</f>
        <v>NO</v>
      </c>
      <c r="I56">
        <f>D56-F56</f>
        <v>-25.900000000000006</v>
      </c>
    </row>
    <row r="57" spans="1:9" x14ac:dyDescent="0.25">
      <c r="A57" t="s">
        <v>48</v>
      </c>
      <c r="B57" t="s">
        <v>20</v>
      </c>
      <c r="C57" t="s">
        <v>24</v>
      </c>
      <c r="D57">
        <v>217</v>
      </c>
      <c r="E57">
        <v>15</v>
      </c>
      <c r="F57">
        <v>243</v>
      </c>
      <c r="G57">
        <f>ABS(D57-F57)</f>
        <v>26</v>
      </c>
      <c r="H57" t="str">
        <f>IF(G57&lt;=$R$5,"SI","NO")</f>
        <v>NO</v>
      </c>
      <c r="I57">
        <f>D57-F57</f>
        <v>-26</v>
      </c>
    </row>
    <row r="58" spans="1:9" x14ac:dyDescent="0.25">
      <c r="A58" t="s">
        <v>48</v>
      </c>
      <c r="B58" t="s">
        <v>20</v>
      </c>
      <c r="C58" t="s">
        <v>25</v>
      </c>
      <c r="D58">
        <v>217</v>
      </c>
      <c r="E58">
        <v>15</v>
      </c>
      <c r="F58">
        <v>243</v>
      </c>
      <c r="G58">
        <f>ABS(D58-F58)</f>
        <v>26</v>
      </c>
      <c r="H58" t="str">
        <f>IF(G58&lt;=$R$5,"SI","NO")</f>
        <v>NO</v>
      </c>
      <c r="I58">
        <f>D58-F58</f>
        <v>-26</v>
      </c>
    </row>
    <row r="59" spans="1:9" x14ac:dyDescent="0.25">
      <c r="A59" t="s">
        <v>42</v>
      </c>
      <c r="B59" t="s">
        <v>45</v>
      </c>
      <c r="C59" t="s">
        <v>10</v>
      </c>
      <c r="D59">
        <v>40</v>
      </c>
      <c r="E59">
        <v>15</v>
      </c>
      <c r="F59">
        <v>66.8</v>
      </c>
      <c r="G59">
        <f>ABS(D59-F59)</f>
        <v>26.799999999999997</v>
      </c>
      <c r="H59" t="str">
        <f>IF(G59&lt;=$R$5,"SI","NO")</f>
        <v>NO</v>
      </c>
      <c r="I59">
        <f>D59-F59</f>
        <v>-26.799999999999997</v>
      </c>
    </row>
    <row r="60" spans="1:9" x14ac:dyDescent="0.25">
      <c r="A60" t="s">
        <v>21</v>
      </c>
      <c r="B60" t="s">
        <v>20</v>
      </c>
      <c r="C60" t="s">
        <v>18</v>
      </c>
      <c r="D60">
        <v>72</v>
      </c>
      <c r="E60">
        <v>15</v>
      </c>
      <c r="F60">
        <v>44.2</v>
      </c>
      <c r="G60">
        <f>ABS(D60-F60)</f>
        <v>27.799999999999997</v>
      </c>
      <c r="H60" t="str">
        <f>IF(G60&lt;=$R$5,"SI","NO")</f>
        <v>NO</v>
      </c>
      <c r="I60">
        <f>D60-F60</f>
        <v>27.799999999999997</v>
      </c>
    </row>
    <row r="61" spans="1:9" x14ac:dyDescent="0.25">
      <c r="A61" t="s">
        <v>48</v>
      </c>
      <c r="B61" t="s">
        <v>20</v>
      </c>
      <c r="C61" t="s">
        <v>31</v>
      </c>
      <c r="D61">
        <v>256</v>
      </c>
      <c r="E61">
        <v>15</v>
      </c>
      <c r="F61">
        <v>227.2</v>
      </c>
      <c r="G61">
        <f>ABS(D61-F61)</f>
        <v>28.800000000000011</v>
      </c>
      <c r="H61" t="str">
        <f>IF(G61&lt;=$R$5,"SI","NO")</f>
        <v>NO</v>
      </c>
      <c r="I61">
        <f>D61-F61</f>
        <v>28.800000000000011</v>
      </c>
    </row>
    <row r="62" spans="1:9" x14ac:dyDescent="0.25">
      <c r="A62" t="s">
        <v>42</v>
      </c>
      <c r="B62" t="s">
        <v>43</v>
      </c>
      <c r="C62" t="s">
        <v>17</v>
      </c>
      <c r="D62">
        <v>144</v>
      </c>
      <c r="E62">
        <v>15</v>
      </c>
      <c r="F62">
        <v>115</v>
      </c>
      <c r="G62">
        <f>ABS(D62-F62)</f>
        <v>29</v>
      </c>
      <c r="H62" t="str">
        <f>IF(G62&lt;=$R$5,"SI","NO")</f>
        <v>NO</v>
      </c>
      <c r="I62">
        <f>D62-F62</f>
        <v>29</v>
      </c>
    </row>
    <row r="63" spans="1:9" x14ac:dyDescent="0.25">
      <c r="A63" t="s">
        <v>49</v>
      </c>
      <c r="B63" t="s">
        <v>20</v>
      </c>
      <c r="C63" t="s">
        <v>25</v>
      </c>
      <c r="D63">
        <v>240</v>
      </c>
      <c r="E63">
        <v>15</v>
      </c>
      <c r="F63">
        <v>271.5</v>
      </c>
      <c r="G63">
        <f>ABS(D63-F63)</f>
        <v>31.5</v>
      </c>
      <c r="H63" t="str">
        <f>IF(G63&lt;=$R$5,"SI","NO")</f>
        <v>NO</v>
      </c>
      <c r="I63">
        <f>D63-F63</f>
        <v>-31.5</v>
      </c>
    </row>
    <row r="64" spans="1:9" x14ac:dyDescent="0.25">
      <c r="A64" t="s">
        <v>42</v>
      </c>
      <c r="B64" t="s">
        <v>45</v>
      </c>
      <c r="C64" t="s">
        <v>14</v>
      </c>
      <c r="D64">
        <v>100</v>
      </c>
      <c r="E64">
        <v>15</v>
      </c>
      <c r="F64">
        <v>67.8</v>
      </c>
      <c r="G64">
        <f>ABS(D64-F64)</f>
        <v>32.200000000000003</v>
      </c>
      <c r="H64" t="str">
        <f>IF(G64&lt;=$R$5,"SI","NO")</f>
        <v>NO</v>
      </c>
      <c r="I64">
        <f>D64-F64</f>
        <v>32.200000000000003</v>
      </c>
    </row>
    <row r="65" spans="1:9" x14ac:dyDescent="0.25">
      <c r="A65" t="s">
        <v>6</v>
      </c>
      <c r="B65" t="s">
        <v>20</v>
      </c>
      <c r="C65" t="s">
        <v>10</v>
      </c>
      <c r="D65">
        <v>28</v>
      </c>
      <c r="E65">
        <v>15</v>
      </c>
      <c r="F65">
        <v>60.3</v>
      </c>
      <c r="G65">
        <f>ABS(D65-F65)</f>
        <v>32.299999999999997</v>
      </c>
      <c r="H65" t="str">
        <f>IF(G65&lt;=$R$5,"SI","NO")</f>
        <v>NO</v>
      </c>
      <c r="I65">
        <f>D65-F65</f>
        <v>-32.299999999999997</v>
      </c>
    </row>
    <row r="66" spans="1:9" x14ac:dyDescent="0.25">
      <c r="A66" t="s">
        <v>52</v>
      </c>
      <c r="B66" t="s">
        <v>20</v>
      </c>
      <c r="C66" t="s">
        <v>15</v>
      </c>
      <c r="D66">
        <v>123</v>
      </c>
      <c r="E66">
        <v>15</v>
      </c>
      <c r="F66">
        <v>155.6</v>
      </c>
      <c r="G66">
        <f>ABS(D66-F66)</f>
        <v>32.599999999999994</v>
      </c>
      <c r="H66" t="str">
        <f>IF(G66&lt;=$R$5,"SI","NO")</f>
        <v>NO</v>
      </c>
      <c r="I66">
        <f>D66-F66</f>
        <v>-32.599999999999994</v>
      </c>
    </row>
    <row r="67" spans="1:9" x14ac:dyDescent="0.25">
      <c r="A67" t="s">
        <v>21</v>
      </c>
      <c r="B67" t="s">
        <v>20</v>
      </c>
      <c r="C67" t="s">
        <v>16</v>
      </c>
      <c r="D67">
        <v>42</v>
      </c>
      <c r="E67">
        <v>15</v>
      </c>
      <c r="F67">
        <v>75</v>
      </c>
      <c r="G67">
        <f>ABS(D67-F67)</f>
        <v>33</v>
      </c>
      <c r="H67" t="str">
        <f>IF(G67&lt;=$R$5,"SI","NO")</f>
        <v>NO</v>
      </c>
      <c r="I67">
        <f>D67-F67</f>
        <v>-33</v>
      </c>
    </row>
    <row r="68" spans="1:9" x14ac:dyDescent="0.25">
      <c r="A68" t="s">
        <v>21</v>
      </c>
      <c r="B68" t="s">
        <v>7</v>
      </c>
      <c r="C68" t="s">
        <v>10</v>
      </c>
      <c r="D68">
        <v>39</v>
      </c>
      <c r="E68">
        <v>15</v>
      </c>
      <c r="F68">
        <v>5.4</v>
      </c>
      <c r="G68">
        <f>ABS(D68-F68)</f>
        <v>33.6</v>
      </c>
      <c r="H68" t="str">
        <f>IF(G68&lt;=$R$5,"SI","NO")</f>
        <v>NO</v>
      </c>
      <c r="I68">
        <f>D68-F68</f>
        <v>33.6</v>
      </c>
    </row>
    <row r="69" spans="1:9" x14ac:dyDescent="0.25">
      <c r="A69" t="s">
        <v>26</v>
      </c>
      <c r="B69" t="s">
        <v>27</v>
      </c>
      <c r="C69" t="s">
        <v>30</v>
      </c>
      <c r="D69">
        <v>37</v>
      </c>
      <c r="E69">
        <v>15</v>
      </c>
      <c r="F69">
        <v>3.1</v>
      </c>
      <c r="G69">
        <f>ABS(D69-F69)</f>
        <v>33.9</v>
      </c>
      <c r="H69" t="str">
        <f>IF(G69&lt;=$R$5,"SI","NO")</f>
        <v>NO</v>
      </c>
      <c r="I69">
        <f>D69-F69</f>
        <v>33.9</v>
      </c>
    </row>
    <row r="70" spans="1:9" x14ac:dyDescent="0.25">
      <c r="A70" t="s">
        <v>26</v>
      </c>
      <c r="B70" t="s">
        <v>27</v>
      </c>
      <c r="C70" t="s">
        <v>15</v>
      </c>
      <c r="D70">
        <v>38</v>
      </c>
      <c r="E70">
        <v>13</v>
      </c>
      <c r="F70">
        <v>3.1</v>
      </c>
      <c r="G70">
        <f>ABS(D70-F70)</f>
        <v>34.9</v>
      </c>
      <c r="H70" t="str">
        <f>IF(G70&lt;=$R$5,"SI","NO")</f>
        <v>NO</v>
      </c>
      <c r="I70">
        <f>D70-F70</f>
        <v>34.9</v>
      </c>
    </row>
    <row r="71" spans="1:9" x14ac:dyDescent="0.25">
      <c r="A71" t="s">
        <v>50</v>
      </c>
      <c r="B71" t="s">
        <v>20</v>
      </c>
      <c r="C71" t="s">
        <v>11</v>
      </c>
      <c r="D71">
        <v>53</v>
      </c>
      <c r="E71">
        <v>15</v>
      </c>
      <c r="F71">
        <v>15.4</v>
      </c>
      <c r="G71">
        <f>ABS(D71-F71)</f>
        <v>37.6</v>
      </c>
      <c r="H71" t="str">
        <f>IF(G71&lt;=$R$5,"SI","NO")</f>
        <v>NO</v>
      </c>
      <c r="I71">
        <f>D71-F71</f>
        <v>37.6</v>
      </c>
    </row>
    <row r="72" spans="1:9" x14ac:dyDescent="0.25">
      <c r="A72" t="s">
        <v>26</v>
      </c>
      <c r="B72" t="s">
        <v>27</v>
      </c>
      <c r="C72" t="s">
        <v>40</v>
      </c>
      <c r="D72">
        <v>114</v>
      </c>
      <c r="E72">
        <v>30</v>
      </c>
      <c r="F72">
        <v>151.69999999999999</v>
      </c>
      <c r="G72">
        <f>ABS(D72-F72)</f>
        <v>37.699999999999989</v>
      </c>
      <c r="H72" t="str">
        <f>IF(G72&lt;=$R$5,"SI","NO")</f>
        <v>NO</v>
      </c>
      <c r="I72">
        <f>D72-F72</f>
        <v>-37.699999999999989</v>
      </c>
    </row>
    <row r="73" spans="1:9" x14ac:dyDescent="0.25">
      <c r="A73" t="s">
        <v>49</v>
      </c>
      <c r="B73" t="s">
        <v>47</v>
      </c>
      <c r="C73" t="s">
        <v>13</v>
      </c>
      <c r="D73">
        <v>91</v>
      </c>
      <c r="E73">
        <v>14</v>
      </c>
      <c r="F73">
        <v>130.80000000000001</v>
      </c>
      <c r="G73">
        <f>ABS(D73-F73)</f>
        <v>39.800000000000011</v>
      </c>
      <c r="H73" t="str">
        <f>IF(G73&lt;=$R$5,"SI","NO")</f>
        <v>NO</v>
      </c>
      <c r="I73">
        <f>D73-F73</f>
        <v>-39.800000000000011</v>
      </c>
    </row>
    <row r="74" spans="1:9" x14ac:dyDescent="0.25">
      <c r="A74" t="s">
        <v>42</v>
      </c>
      <c r="B74" t="s">
        <v>44</v>
      </c>
      <c r="C74" t="s">
        <v>9</v>
      </c>
      <c r="D74">
        <v>52</v>
      </c>
      <c r="E74">
        <v>15</v>
      </c>
      <c r="F74">
        <v>12.1</v>
      </c>
      <c r="G74">
        <f>ABS(D74-F74)</f>
        <v>39.9</v>
      </c>
      <c r="H74" t="str">
        <f>IF(G74&lt;=$R$5,"SI","NO")</f>
        <v>NO</v>
      </c>
      <c r="I74">
        <f>D74-F74</f>
        <v>39.9</v>
      </c>
    </row>
    <row r="75" spans="1:9" x14ac:dyDescent="0.25">
      <c r="A75" t="s">
        <v>46</v>
      </c>
      <c r="B75" t="s">
        <v>20</v>
      </c>
      <c r="C75" t="s">
        <v>15</v>
      </c>
      <c r="D75">
        <v>91</v>
      </c>
      <c r="E75">
        <v>15</v>
      </c>
      <c r="F75">
        <v>51.1</v>
      </c>
      <c r="G75">
        <f>ABS(D75-F75)</f>
        <v>39.9</v>
      </c>
      <c r="H75" t="str">
        <f>IF(G75&lt;=$R$5,"SI","NO")</f>
        <v>NO</v>
      </c>
      <c r="I75">
        <f>D75-F75</f>
        <v>39.9</v>
      </c>
    </row>
    <row r="76" spans="1:9" x14ac:dyDescent="0.25">
      <c r="A76" t="s">
        <v>49</v>
      </c>
      <c r="B76" t="s">
        <v>20</v>
      </c>
      <c r="C76" t="s">
        <v>15</v>
      </c>
      <c r="D76">
        <v>89</v>
      </c>
      <c r="E76">
        <v>15</v>
      </c>
      <c r="F76">
        <v>130.6</v>
      </c>
      <c r="G76">
        <f>ABS(D76-F76)</f>
        <v>41.599999999999994</v>
      </c>
      <c r="H76" t="str">
        <f>IF(G76&lt;=$R$5,"SI","NO")</f>
        <v>NO</v>
      </c>
      <c r="I76">
        <f>D76-F76</f>
        <v>-41.599999999999994</v>
      </c>
    </row>
    <row r="77" spans="1:9" x14ac:dyDescent="0.25">
      <c r="A77" t="s">
        <v>42</v>
      </c>
      <c r="B77" t="s">
        <v>45</v>
      </c>
      <c r="C77" t="s">
        <v>9</v>
      </c>
      <c r="D77">
        <v>25</v>
      </c>
      <c r="E77">
        <v>15</v>
      </c>
      <c r="F77">
        <v>66.8</v>
      </c>
      <c r="G77">
        <f>ABS(D77-F77)</f>
        <v>41.8</v>
      </c>
      <c r="H77" t="str">
        <f>IF(G77&lt;=$R$5,"SI","NO")</f>
        <v>NO</v>
      </c>
      <c r="I77">
        <f>D77-F77</f>
        <v>-41.8</v>
      </c>
    </row>
    <row r="78" spans="1:9" x14ac:dyDescent="0.25">
      <c r="A78" t="s">
        <v>50</v>
      </c>
      <c r="B78" t="s">
        <v>20</v>
      </c>
      <c r="C78" t="s">
        <v>13</v>
      </c>
      <c r="D78">
        <v>86</v>
      </c>
      <c r="E78">
        <v>15</v>
      </c>
      <c r="F78">
        <v>127.9</v>
      </c>
      <c r="G78">
        <f>ABS(D78-F78)</f>
        <v>41.900000000000006</v>
      </c>
      <c r="H78" t="str">
        <f>IF(G78&lt;=$R$5,"SI","NO")</f>
        <v>NO</v>
      </c>
      <c r="I78">
        <f>D78-F78</f>
        <v>-41.900000000000006</v>
      </c>
    </row>
    <row r="79" spans="1:9" x14ac:dyDescent="0.25">
      <c r="A79" t="s">
        <v>26</v>
      </c>
      <c r="B79" t="s">
        <v>27</v>
      </c>
      <c r="C79" t="s">
        <v>8</v>
      </c>
      <c r="D79">
        <v>52</v>
      </c>
      <c r="E79">
        <v>27</v>
      </c>
      <c r="F79">
        <v>8.3000000000000007</v>
      </c>
      <c r="G79">
        <f>ABS(D79-F79)</f>
        <v>43.7</v>
      </c>
      <c r="H79" t="str">
        <f>IF(G79&lt;=$R$5,"SI","NO")</f>
        <v>NO</v>
      </c>
      <c r="I79">
        <f>D79-F79</f>
        <v>43.7</v>
      </c>
    </row>
    <row r="80" spans="1:9" x14ac:dyDescent="0.25">
      <c r="A80" t="s">
        <v>21</v>
      </c>
      <c r="B80" t="s">
        <v>20</v>
      </c>
      <c r="C80" t="s">
        <v>19</v>
      </c>
      <c r="D80">
        <v>89</v>
      </c>
      <c r="E80">
        <v>15</v>
      </c>
      <c r="F80">
        <v>44.2</v>
      </c>
      <c r="G80">
        <f>ABS(D80-F80)</f>
        <v>44.8</v>
      </c>
      <c r="H80" t="str">
        <f>IF(G80&lt;=$R$5,"SI","NO")</f>
        <v>NO</v>
      </c>
      <c r="I80">
        <f>D80-F80</f>
        <v>44.8</v>
      </c>
    </row>
    <row r="81" spans="1:9" x14ac:dyDescent="0.25">
      <c r="A81" t="s">
        <v>49</v>
      </c>
      <c r="B81" t="s">
        <v>20</v>
      </c>
      <c r="C81" t="s">
        <v>24</v>
      </c>
      <c r="D81">
        <v>226</v>
      </c>
      <c r="E81">
        <v>15</v>
      </c>
      <c r="F81">
        <v>271</v>
      </c>
      <c r="G81">
        <f>ABS(D81-F81)</f>
        <v>45</v>
      </c>
      <c r="H81" t="str">
        <f>IF(G81&lt;=$R$5,"SI","NO")</f>
        <v>NO</v>
      </c>
      <c r="I81">
        <f>D81-F81</f>
        <v>-45</v>
      </c>
    </row>
    <row r="82" spans="1:9" x14ac:dyDescent="0.25">
      <c r="A82" t="s">
        <v>42</v>
      </c>
      <c r="B82" t="s">
        <v>43</v>
      </c>
      <c r="C82" t="s">
        <v>12</v>
      </c>
      <c r="D82">
        <v>69</v>
      </c>
      <c r="E82">
        <v>15</v>
      </c>
      <c r="F82">
        <v>115</v>
      </c>
      <c r="G82">
        <f>ABS(D82-F82)</f>
        <v>46</v>
      </c>
      <c r="H82" t="str">
        <f>IF(G82&lt;=$R$5,"SI","NO")</f>
        <v>NO</v>
      </c>
      <c r="I82">
        <f>D82-F82</f>
        <v>-46</v>
      </c>
    </row>
    <row r="83" spans="1:9" x14ac:dyDescent="0.25">
      <c r="A83" t="s">
        <v>52</v>
      </c>
      <c r="B83" t="s">
        <v>20</v>
      </c>
      <c r="C83" t="s">
        <v>14</v>
      </c>
      <c r="D83">
        <v>107</v>
      </c>
      <c r="E83">
        <v>15</v>
      </c>
      <c r="F83">
        <v>155.6</v>
      </c>
      <c r="G83">
        <f>ABS(D83-F83)</f>
        <v>48.599999999999994</v>
      </c>
      <c r="H83" t="str">
        <f>IF(G83&lt;=$R$5,"SI","NO")</f>
        <v>NO</v>
      </c>
      <c r="I83">
        <f>D83-F83</f>
        <v>-48.599999999999994</v>
      </c>
    </row>
    <row r="84" spans="1:9" x14ac:dyDescent="0.25">
      <c r="A84" t="s">
        <v>21</v>
      </c>
      <c r="B84" t="s">
        <v>7</v>
      </c>
      <c r="C84" t="s">
        <v>11</v>
      </c>
      <c r="D84">
        <v>54</v>
      </c>
      <c r="E84">
        <v>15</v>
      </c>
      <c r="F84">
        <v>5.4</v>
      </c>
      <c r="G84">
        <f>ABS(D84-F84)</f>
        <v>48.6</v>
      </c>
      <c r="H84" t="str">
        <f>IF(G84&lt;=$R$5,"SI","NO")</f>
        <v>NO</v>
      </c>
      <c r="I84">
        <f>D84-F84</f>
        <v>48.6</v>
      </c>
    </row>
    <row r="85" spans="1:9" x14ac:dyDescent="0.25">
      <c r="A85" t="s">
        <v>26</v>
      </c>
      <c r="B85" t="s">
        <v>27</v>
      </c>
      <c r="C85" t="s">
        <v>23</v>
      </c>
      <c r="D85">
        <v>62</v>
      </c>
      <c r="E85">
        <v>20</v>
      </c>
      <c r="F85">
        <v>12.6</v>
      </c>
      <c r="G85">
        <f>ABS(D85-F85)</f>
        <v>49.4</v>
      </c>
      <c r="H85" t="str">
        <f>IF(G85&lt;=$R$5,"SI","NO")</f>
        <v>NO</v>
      </c>
      <c r="I85">
        <f>D85-F85</f>
        <v>49.4</v>
      </c>
    </row>
    <row r="86" spans="1:9" x14ac:dyDescent="0.25">
      <c r="A86" t="s">
        <v>46</v>
      </c>
      <c r="B86" t="s">
        <v>20</v>
      </c>
      <c r="C86" t="s">
        <v>10</v>
      </c>
      <c r="D86">
        <v>21</v>
      </c>
      <c r="E86">
        <v>15</v>
      </c>
      <c r="F86">
        <v>70.7</v>
      </c>
      <c r="G86">
        <f>ABS(D86-F86)</f>
        <v>49.7</v>
      </c>
      <c r="H86" t="str">
        <f>IF(G86&lt;=$R$5,"SI","NO")</f>
        <v>NO</v>
      </c>
      <c r="I86">
        <f>D86-F86</f>
        <v>-49.7</v>
      </c>
    </row>
    <row r="87" spans="1:9" x14ac:dyDescent="0.25">
      <c r="A87" t="s">
        <v>26</v>
      </c>
      <c r="B87" t="s">
        <v>27</v>
      </c>
      <c r="C87" t="s">
        <v>33</v>
      </c>
      <c r="D87">
        <v>103</v>
      </c>
      <c r="E87">
        <v>25</v>
      </c>
      <c r="F87">
        <v>50.7</v>
      </c>
      <c r="G87">
        <f>ABS(D87-F87)</f>
        <v>52.3</v>
      </c>
      <c r="H87" t="str">
        <f>IF(G87&lt;=$R$5,"SI","NO")</f>
        <v>NO</v>
      </c>
      <c r="I87">
        <f>D87-F87</f>
        <v>52.3</v>
      </c>
    </row>
    <row r="88" spans="1:9" x14ac:dyDescent="0.25">
      <c r="A88" t="s">
        <v>49</v>
      </c>
      <c r="B88" t="s">
        <v>20</v>
      </c>
      <c r="C88" t="s">
        <v>28</v>
      </c>
      <c r="D88">
        <v>254</v>
      </c>
      <c r="E88">
        <v>15</v>
      </c>
      <c r="F88">
        <v>306.39999999999998</v>
      </c>
      <c r="G88">
        <f>ABS(D88-F88)</f>
        <v>52.399999999999977</v>
      </c>
      <c r="H88" t="str">
        <f>IF(G88&lt;=$R$5,"SI","NO")</f>
        <v>NO</v>
      </c>
      <c r="I88">
        <f>D88-F88</f>
        <v>-52.399999999999977</v>
      </c>
    </row>
    <row r="89" spans="1:9" x14ac:dyDescent="0.25">
      <c r="A89" t="s">
        <v>26</v>
      </c>
      <c r="B89" t="s">
        <v>27</v>
      </c>
      <c r="C89" t="s">
        <v>35</v>
      </c>
      <c r="D89">
        <v>153</v>
      </c>
      <c r="E89">
        <v>25</v>
      </c>
      <c r="F89">
        <v>100.6</v>
      </c>
      <c r="G89">
        <f>ABS(D89-F89)</f>
        <v>52.400000000000006</v>
      </c>
      <c r="H89" t="str">
        <f>IF(G89&lt;=$R$5,"SI","NO")</f>
        <v>NO</v>
      </c>
      <c r="I89">
        <f>D89-F89</f>
        <v>52.400000000000006</v>
      </c>
    </row>
    <row r="90" spans="1:9" x14ac:dyDescent="0.25">
      <c r="A90" t="s">
        <v>42</v>
      </c>
      <c r="B90" t="s">
        <v>43</v>
      </c>
      <c r="C90" t="s">
        <v>18</v>
      </c>
      <c r="D90">
        <v>185</v>
      </c>
      <c r="E90">
        <v>15</v>
      </c>
      <c r="F90">
        <v>237.7</v>
      </c>
      <c r="G90">
        <f>ABS(D90-F90)</f>
        <v>52.699999999999989</v>
      </c>
      <c r="H90" t="str">
        <f>IF(G90&lt;=$R$5,"SI","NO")</f>
        <v>NO</v>
      </c>
      <c r="I90">
        <f>D90-F90</f>
        <v>-52.699999999999989</v>
      </c>
    </row>
    <row r="91" spans="1:9" x14ac:dyDescent="0.25">
      <c r="A91" t="s">
        <v>46</v>
      </c>
      <c r="B91" t="s">
        <v>20</v>
      </c>
      <c r="C91" t="s">
        <v>12</v>
      </c>
      <c r="D91">
        <v>57</v>
      </c>
      <c r="E91">
        <v>15</v>
      </c>
      <c r="F91">
        <v>4.2</v>
      </c>
      <c r="G91">
        <f>ABS(D91-F91)</f>
        <v>52.8</v>
      </c>
      <c r="H91" t="str">
        <f>IF(G91&lt;=$R$5,"SI","NO")</f>
        <v>NO</v>
      </c>
      <c r="I91">
        <f>D91-F91</f>
        <v>52.8</v>
      </c>
    </row>
    <row r="92" spans="1:9" x14ac:dyDescent="0.25">
      <c r="A92" t="s">
        <v>46</v>
      </c>
      <c r="B92" t="s">
        <v>47</v>
      </c>
      <c r="C92" t="s">
        <v>8</v>
      </c>
      <c r="D92">
        <v>58</v>
      </c>
      <c r="E92">
        <v>15</v>
      </c>
      <c r="F92">
        <v>4.8000000000000007</v>
      </c>
      <c r="G92">
        <f>ABS(D92-F92)</f>
        <v>53.2</v>
      </c>
      <c r="H92" t="str">
        <f>IF(G92&lt;=$R$5,"SI","NO")</f>
        <v>NO</v>
      </c>
      <c r="I92">
        <f>D92-F92</f>
        <v>53.2</v>
      </c>
    </row>
    <row r="93" spans="1:9" x14ac:dyDescent="0.25">
      <c r="A93" t="s">
        <v>26</v>
      </c>
      <c r="B93" t="s">
        <v>27</v>
      </c>
      <c r="C93" t="s">
        <v>22</v>
      </c>
      <c r="D93">
        <v>42</v>
      </c>
      <c r="E93">
        <v>20</v>
      </c>
      <c r="F93">
        <v>95.9</v>
      </c>
      <c r="G93">
        <f>ABS(D93-F93)</f>
        <v>53.900000000000006</v>
      </c>
      <c r="H93" t="str">
        <f>IF(G93&lt;=$R$5,"SI","NO")</f>
        <v>NO</v>
      </c>
      <c r="I93">
        <f>D93-F93</f>
        <v>-53.900000000000006</v>
      </c>
    </row>
    <row r="94" spans="1:9" x14ac:dyDescent="0.25">
      <c r="A94" t="s">
        <v>46</v>
      </c>
      <c r="B94" t="s">
        <v>20</v>
      </c>
      <c r="C94" t="s">
        <v>11</v>
      </c>
      <c r="D94">
        <v>41</v>
      </c>
      <c r="E94">
        <v>15</v>
      </c>
      <c r="F94">
        <v>95.100000000000009</v>
      </c>
      <c r="G94">
        <f>ABS(D94-F94)</f>
        <v>54.100000000000009</v>
      </c>
      <c r="H94" t="str">
        <f>IF(G94&lt;=$R$5,"SI","NO")</f>
        <v>NO</v>
      </c>
      <c r="I94">
        <f>D94-F94</f>
        <v>-54.100000000000009</v>
      </c>
    </row>
    <row r="95" spans="1:9" x14ac:dyDescent="0.25">
      <c r="A95" t="s">
        <v>26</v>
      </c>
      <c r="B95" t="s">
        <v>27</v>
      </c>
      <c r="C95" t="s">
        <v>12</v>
      </c>
      <c r="D95">
        <v>64</v>
      </c>
      <c r="E95">
        <v>22</v>
      </c>
      <c r="F95">
        <v>9</v>
      </c>
      <c r="G95">
        <f>ABS(D95-F95)</f>
        <v>55</v>
      </c>
      <c r="H95" t="str">
        <f>IF(G95&lt;=$R$5,"SI","NO")</f>
        <v>NO</v>
      </c>
      <c r="I95">
        <f>D95-F95</f>
        <v>55</v>
      </c>
    </row>
    <row r="96" spans="1:9" x14ac:dyDescent="0.25">
      <c r="A96" t="s">
        <v>42</v>
      </c>
      <c r="B96" t="s">
        <v>45</v>
      </c>
      <c r="C96" t="s">
        <v>13</v>
      </c>
      <c r="D96">
        <v>85</v>
      </c>
      <c r="E96">
        <v>15</v>
      </c>
      <c r="F96">
        <v>140.6</v>
      </c>
      <c r="G96">
        <f>ABS(D96-F96)</f>
        <v>55.599999999999994</v>
      </c>
      <c r="H96" t="str">
        <f>IF(G96&lt;=$R$5,"SI","NO")</f>
        <v>NO</v>
      </c>
      <c r="I96">
        <f>D96-F96</f>
        <v>-55.599999999999994</v>
      </c>
    </row>
    <row r="97" spans="1:9" x14ac:dyDescent="0.25">
      <c r="A97" t="s">
        <v>49</v>
      </c>
      <c r="B97" t="s">
        <v>47</v>
      </c>
      <c r="C97" t="s">
        <v>12</v>
      </c>
      <c r="D97">
        <v>75</v>
      </c>
      <c r="E97">
        <v>15</v>
      </c>
      <c r="F97">
        <v>130.80000000000001</v>
      </c>
      <c r="G97">
        <f>ABS(D97-F97)</f>
        <v>55.800000000000011</v>
      </c>
      <c r="H97" t="str">
        <f>IF(G97&lt;=$R$5,"SI","NO")</f>
        <v>NO</v>
      </c>
      <c r="I97">
        <f>D97-F97</f>
        <v>-55.800000000000011</v>
      </c>
    </row>
    <row r="98" spans="1:9" x14ac:dyDescent="0.25">
      <c r="A98" t="s">
        <v>50</v>
      </c>
      <c r="B98" t="s">
        <v>20</v>
      </c>
      <c r="C98" t="s">
        <v>12</v>
      </c>
      <c r="D98">
        <v>69</v>
      </c>
      <c r="E98">
        <v>15</v>
      </c>
      <c r="F98">
        <v>127.9</v>
      </c>
      <c r="G98">
        <f>ABS(D98-F98)</f>
        <v>58.900000000000006</v>
      </c>
      <c r="H98" t="str">
        <f>IF(G98&lt;=$R$5,"SI","NO")</f>
        <v>NO</v>
      </c>
      <c r="I98">
        <f>D98-F98</f>
        <v>-58.900000000000006</v>
      </c>
    </row>
    <row r="99" spans="1:9" x14ac:dyDescent="0.25">
      <c r="A99" t="s">
        <v>6</v>
      </c>
      <c r="B99" t="s">
        <v>7</v>
      </c>
      <c r="C99" t="s">
        <v>14</v>
      </c>
      <c r="D99">
        <v>90</v>
      </c>
      <c r="E99">
        <v>15</v>
      </c>
      <c r="F99">
        <v>149.19999999999999</v>
      </c>
      <c r="G99">
        <f>ABS(D99-F99)</f>
        <v>59.199999999999989</v>
      </c>
      <c r="H99" t="str">
        <f>IF(G99&lt;=$R$5,"SI","NO")</f>
        <v>NO</v>
      </c>
      <c r="I99">
        <f>D99-F99</f>
        <v>-59.199999999999989</v>
      </c>
    </row>
    <row r="100" spans="1:9" x14ac:dyDescent="0.25">
      <c r="A100" t="s">
        <v>48</v>
      </c>
      <c r="B100" t="s">
        <v>20</v>
      </c>
      <c r="C100" t="s">
        <v>22</v>
      </c>
      <c r="D100">
        <v>184</v>
      </c>
      <c r="E100">
        <v>15</v>
      </c>
      <c r="F100">
        <v>243.4</v>
      </c>
      <c r="G100">
        <f>ABS(D100-F100)</f>
        <v>59.400000000000006</v>
      </c>
      <c r="H100" t="str">
        <f>IF(G100&lt;=$R$5,"SI","NO")</f>
        <v>NO</v>
      </c>
      <c r="I100">
        <f>D100-F100</f>
        <v>-59.400000000000006</v>
      </c>
    </row>
    <row r="101" spans="1:9" x14ac:dyDescent="0.25">
      <c r="A101" t="s">
        <v>50</v>
      </c>
      <c r="B101" t="s">
        <v>20</v>
      </c>
      <c r="C101" t="s">
        <v>16</v>
      </c>
      <c r="D101">
        <v>136</v>
      </c>
      <c r="E101">
        <v>15</v>
      </c>
      <c r="F101">
        <v>76.2</v>
      </c>
      <c r="G101">
        <f>ABS(D101-F101)</f>
        <v>59.8</v>
      </c>
      <c r="H101" t="str">
        <f>IF(G101&lt;=$R$5,"SI","NO")</f>
        <v>NO</v>
      </c>
      <c r="I101">
        <f>D101-F101</f>
        <v>59.8</v>
      </c>
    </row>
    <row r="102" spans="1:9" x14ac:dyDescent="0.25">
      <c r="A102" t="s">
        <v>46</v>
      </c>
      <c r="B102" t="s">
        <v>20</v>
      </c>
      <c r="C102" t="s">
        <v>9</v>
      </c>
      <c r="D102">
        <v>13</v>
      </c>
      <c r="E102">
        <v>15</v>
      </c>
      <c r="F102">
        <v>73.3</v>
      </c>
      <c r="G102">
        <f>ABS(D102-F102)</f>
        <v>60.3</v>
      </c>
      <c r="H102" t="str">
        <f>IF(G102&lt;=$R$5,"SI","NO")</f>
        <v>NO</v>
      </c>
      <c r="I102">
        <f>D102-F102</f>
        <v>-60.3</v>
      </c>
    </row>
    <row r="103" spans="1:9" x14ac:dyDescent="0.25">
      <c r="A103" t="s">
        <v>49</v>
      </c>
      <c r="B103" t="s">
        <v>20</v>
      </c>
      <c r="C103" t="s">
        <v>19</v>
      </c>
      <c r="D103">
        <v>180</v>
      </c>
      <c r="E103">
        <v>15</v>
      </c>
      <c r="F103">
        <v>240.3</v>
      </c>
      <c r="G103">
        <f>ABS(D103-F103)</f>
        <v>60.300000000000011</v>
      </c>
      <c r="H103" t="str">
        <f>IF(G103&lt;=$R$5,"SI","NO")</f>
        <v>NO</v>
      </c>
      <c r="I103">
        <f>D103-F103</f>
        <v>-60.300000000000011</v>
      </c>
    </row>
    <row r="104" spans="1:9" x14ac:dyDescent="0.25">
      <c r="A104" t="s">
        <v>42</v>
      </c>
      <c r="B104" t="s">
        <v>43</v>
      </c>
      <c r="C104" t="s">
        <v>11</v>
      </c>
      <c r="D104">
        <v>54</v>
      </c>
      <c r="E104">
        <v>15</v>
      </c>
      <c r="F104">
        <v>115</v>
      </c>
      <c r="G104">
        <f>ABS(D104-F104)</f>
        <v>61</v>
      </c>
      <c r="H104" t="str">
        <f>IF(G104&lt;=$R$5,"SI","NO")</f>
        <v>NO</v>
      </c>
      <c r="I104">
        <f>D104-F104</f>
        <v>-61</v>
      </c>
    </row>
    <row r="105" spans="1:9" x14ac:dyDescent="0.25">
      <c r="A105" t="s">
        <v>49</v>
      </c>
      <c r="B105" t="s">
        <v>20</v>
      </c>
      <c r="C105" t="s">
        <v>23</v>
      </c>
      <c r="D105">
        <v>210</v>
      </c>
      <c r="E105">
        <v>15</v>
      </c>
      <c r="F105">
        <v>271</v>
      </c>
      <c r="G105">
        <f>ABS(D105-F105)</f>
        <v>61</v>
      </c>
      <c r="H105" t="str">
        <f>IF(G105&lt;=$R$5,"SI","NO")</f>
        <v>NO</v>
      </c>
      <c r="I105">
        <f>D105-F105</f>
        <v>-61</v>
      </c>
    </row>
    <row r="106" spans="1:9" x14ac:dyDescent="0.25">
      <c r="A106" t="s">
        <v>21</v>
      </c>
      <c r="B106" t="s">
        <v>7</v>
      </c>
      <c r="C106" t="s">
        <v>12</v>
      </c>
      <c r="D106">
        <v>69</v>
      </c>
      <c r="E106">
        <v>15</v>
      </c>
      <c r="F106">
        <v>5.4</v>
      </c>
      <c r="G106">
        <f>ABS(D106-F106)</f>
        <v>63.6</v>
      </c>
      <c r="H106" t="str">
        <f>IF(G106&lt;=$R$5,"SI","NO")</f>
        <v>NO</v>
      </c>
      <c r="I106">
        <f>D106-F106</f>
        <v>63.6</v>
      </c>
    </row>
    <row r="107" spans="1:9" x14ac:dyDescent="0.25">
      <c r="A107" t="s">
        <v>46</v>
      </c>
      <c r="B107" t="s">
        <v>20</v>
      </c>
      <c r="C107" t="s">
        <v>16</v>
      </c>
      <c r="D107">
        <v>-1</v>
      </c>
      <c r="E107">
        <v>15</v>
      </c>
      <c r="F107">
        <v>63.7</v>
      </c>
      <c r="G107">
        <f>ABS(D107-F107)</f>
        <v>64.7</v>
      </c>
      <c r="H107" t="str">
        <f>IF(G107&lt;=$R$5,"SI","NO")</f>
        <v>NO</v>
      </c>
      <c r="I107">
        <f>D107-F107</f>
        <v>-64.7</v>
      </c>
    </row>
    <row r="108" spans="1:9" x14ac:dyDescent="0.25">
      <c r="A108" t="s">
        <v>42</v>
      </c>
      <c r="B108" t="s">
        <v>44</v>
      </c>
      <c r="C108" t="s">
        <v>12</v>
      </c>
      <c r="D108">
        <v>97</v>
      </c>
      <c r="E108">
        <v>15</v>
      </c>
      <c r="F108">
        <v>29.5</v>
      </c>
      <c r="G108">
        <f>ABS(D108-F108)</f>
        <v>67.5</v>
      </c>
      <c r="H108" t="str">
        <f>IF(G108&lt;=$R$5,"SI","NO")</f>
        <v>NO</v>
      </c>
      <c r="I108">
        <f>D108-F108</f>
        <v>67.5</v>
      </c>
    </row>
    <row r="109" spans="1:9" x14ac:dyDescent="0.25">
      <c r="A109" t="s">
        <v>26</v>
      </c>
      <c r="B109" t="s">
        <v>27</v>
      </c>
      <c r="C109" t="s">
        <v>39</v>
      </c>
      <c r="D109">
        <v>84</v>
      </c>
      <c r="E109">
        <v>30</v>
      </c>
      <c r="F109">
        <v>151.69999999999999</v>
      </c>
      <c r="G109">
        <f>ABS(D109-F109)</f>
        <v>67.699999999999989</v>
      </c>
      <c r="H109" t="str">
        <f>IF(G109&lt;=$R$5,"SI","NO")</f>
        <v>NO</v>
      </c>
      <c r="I109">
        <f>D109-F109</f>
        <v>-67.699999999999989</v>
      </c>
    </row>
    <row r="110" spans="1:9" x14ac:dyDescent="0.25">
      <c r="A110" t="s">
        <v>6</v>
      </c>
      <c r="B110" t="s">
        <v>20</v>
      </c>
      <c r="C110" t="s">
        <v>12</v>
      </c>
      <c r="D110">
        <v>58</v>
      </c>
      <c r="E110">
        <v>15</v>
      </c>
      <c r="F110">
        <v>125.8</v>
      </c>
      <c r="G110">
        <f>ABS(D110-F110)</f>
        <v>67.8</v>
      </c>
      <c r="H110" t="str">
        <f>IF(G110&lt;=$R$5,"SI","NO")</f>
        <v>NO</v>
      </c>
      <c r="I110">
        <f>D110-F110</f>
        <v>-67.8</v>
      </c>
    </row>
    <row r="111" spans="1:9" x14ac:dyDescent="0.25">
      <c r="A111" t="s">
        <v>26</v>
      </c>
      <c r="B111" t="s">
        <v>27</v>
      </c>
      <c r="C111" t="s">
        <v>10</v>
      </c>
      <c r="D111">
        <v>71</v>
      </c>
      <c r="E111">
        <v>20</v>
      </c>
      <c r="F111">
        <v>3.1</v>
      </c>
      <c r="G111">
        <f>ABS(D111-F111)</f>
        <v>67.900000000000006</v>
      </c>
      <c r="H111" t="str">
        <f>IF(G111&lt;=$R$5,"SI","NO")</f>
        <v>NO</v>
      </c>
      <c r="I111">
        <f>D111-F111</f>
        <v>67.900000000000006</v>
      </c>
    </row>
    <row r="112" spans="1:9" x14ac:dyDescent="0.25">
      <c r="A112" t="s">
        <v>50</v>
      </c>
      <c r="B112" t="s">
        <v>51</v>
      </c>
      <c r="C112" t="s">
        <v>8</v>
      </c>
      <c r="D112">
        <v>62</v>
      </c>
      <c r="E112">
        <v>13</v>
      </c>
      <c r="F112">
        <v>129.9</v>
      </c>
      <c r="G112">
        <f>ABS(D112-F112)</f>
        <v>67.900000000000006</v>
      </c>
      <c r="H112" t="str">
        <f>IF(G112&lt;=$R$5,"SI","NO")</f>
        <v>NO</v>
      </c>
      <c r="I112">
        <f>D112-F112</f>
        <v>-67.900000000000006</v>
      </c>
    </row>
    <row r="113" spans="1:9" x14ac:dyDescent="0.25">
      <c r="A113" t="s">
        <v>50</v>
      </c>
      <c r="B113" t="s">
        <v>20</v>
      </c>
      <c r="C113" t="s">
        <v>8</v>
      </c>
      <c r="D113">
        <v>7</v>
      </c>
      <c r="E113">
        <v>15</v>
      </c>
      <c r="F113">
        <v>76.3</v>
      </c>
      <c r="G113">
        <f>ABS(D113-F113)</f>
        <v>69.3</v>
      </c>
      <c r="H113" t="str">
        <f>IF(G113&lt;=$R$5,"SI","NO")</f>
        <v>NO</v>
      </c>
      <c r="I113">
        <f>D113-F113</f>
        <v>-69.3</v>
      </c>
    </row>
    <row r="114" spans="1:9" x14ac:dyDescent="0.25">
      <c r="A114" t="s">
        <v>46</v>
      </c>
      <c r="B114" t="s">
        <v>47</v>
      </c>
      <c r="C114" t="s">
        <v>9</v>
      </c>
      <c r="D114">
        <v>75</v>
      </c>
      <c r="E114">
        <v>15</v>
      </c>
      <c r="F114">
        <v>5.4</v>
      </c>
      <c r="G114">
        <f>ABS(D114-F114)</f>
        <v>69.599999999999994</v>
      </c>
      <c r="H114" t="str">
        <f>IF(G114&lt;=$R$5,"SI","NO")</f>
        <v>NO</v>
      </c>
      <c r="I114">
        <f>D114-F114</f>
        <v>69.599999999999994</v>
      </c>
    </row>
    <row r="115" spans="1:9" x14ac:dyDescent="0.25">
      <c r="A115" t="s">
        <v>42</v>
      </c>
      <c r="B115" t="s">
        <v>45</v>
      </c>
      <c r="C115" t="s">
        <v>15</v>
      </c>
      <c r="D115">
        <v>115</v>
      </c>
      <c r="E115">
        <v>15</v>
      </c>
      <c r="F115">
        <v>184.7</v>
      </c>
      <c r="G115">
        <f>ABS(D115-F115)</f>
        <v>69.699999999999989</v>
      </c>
      <c r="H115" t="str">
        <f>IF(G115&lt;=$R$5,"SI","NO")</f>
        <v>NO</v>
      </c>
      <c r="I115">
        <f>D115-F115</f>
        <v>-69.699999999999989</v>
      </c>
    </row>
    <row r="116" spans="1:9" x14ac:dyDescent="0.25">
      <c r="A116" t="s">
        <v>49</v>
      </c>
      <c r="B116" t="s">
        <v>47</v>
      </c>
      <c r="C116" t="s">
        <v>11</v>
      </c>
      <c r="D116">
        <v>60</v>
      </c>
      <c r="E116">
        <v>15</v>
      </c>
      <c r="F116">
        <v>130.80000000000001</v>
      </c>
      <c r="G116">
        <f>ABS(D116-F116)</f>
        <v>70.800000000000011</v>
      </c>
      <c r="H116" t="str">
        <f>IF(G116&lt;=$R$5,"SI","NO")</f>
        <v>NO</v>
      </c>
      <c r="I116">
        <f>D116-F116</f>
        <v>-70.800000000000011</v>
      </c>
    </row>
    <row r="117" spans="1:9" x14ac:dyDescent="0.25">
      <c r="A117" t="s">
        <v>49</v>
      </c>
      <c r="B117" t="s">
        <v>20</v>
      </c>
      <c r="C117" t="s">
        <v>13</v>
      </c>
      <c r="D117">
        <v>60</v>
      </c>
      <c r="E117">
        <v>15</v>
      </c>
      <c r="F117">
        <v>131</v>
      </c>
      <c r="G117">
        <f>ABS(D117-F117)</f>
        <v>71</v>
      </c>
      <c r="H117" t="str">
        <f>IF(G117&lt;=$R$5,"SI","NO")</f>
        <v>NO</v>
      </c>
      <c r="I117">
        <f>D117-F117</f>
        <v>-71</v>
      </c>
    </row>
    <row r="118" spans="1:9" x14ac:dyDescent="0.25">
      <c r="A118" t="s">
        <v>6</v>
      </c>
      <c r="B118" t="s">
        <v>20</v>
      </c>
      <c r="C118" t="s">
        <v>17</v>
      </c>
      <c r="D118">
        <v>134</v>
      </c>
      <c r="E118">
        <v>15</v>
      </c>
      <c r="F118">
        <v>60.3</v>
      </c>
      <c r="G118">
        <f>ABS(D118-F118)</f>
        <v>73.7</v>
      </c>
      <c r="H118" t="str">
        <f>IF(G118&lt;=$R$5,"SI","NO")</f>
        <v>NO</v>
      </c>
      <c r="I118">
        <f>D118-F118</f>
        <v>73.7</v>
      </c>
    </row>
    <row r="119" spans="1:9" x14ac:dyDescent="0.25">
      <c r="A119" t="s">
        <v>6</v>
      </c>
      <c r="B119" t="s">
        <v>7</v>
      </c>
      <c r="C119" t="s">
        <v>13</v>
      </c>
      <c r="D119">
        <v>75</v>
      </c>
      <c r="E119">
        <v>15</v>
      </c>
      <c r="F119">
        <v>149.19999999999999</v>
      </c>
      <c r="G119">
        <f>ABS(D119-F119)</f>
        <v>74.199999999999989</v>
      </c>
      <c r="H119" t="str">
        <f>IF(G119&lt;=$R$5,"SI","NO")</f>
        <v>NO</v>
      </c>
      <c r="I119">
        <f>D119-F119</f>
        <v>-74.199999999999989</v>
      </c>
    </row>
    <row r="120" spans="1:9" x14ac:dyDescent="0.25">
      <c r="A120" t="s">
        <v>48</v>
      </c>
      <c r="B120" t="s">
        <v>20</v>
      </c>
      <c r="C120" t="s">
        <v>19</v>
      </c>
      <c r="D120">
        <v>168</v>
      </c>
      <c r="E120">
        <v>15</v>
      </c>
      <c r="F120">
        <v>243.1</v>
      </c>
      <c r="G120">
        <f>ABS(D120-F120)</f>
        <v>75.099999999999994</v>
      </c>
      <c r="H120" t="str">
        <f>IF(G120&lt;=$R$5,"SI","NO")</f>
        <v>NO</v>
      </c>
      <c r="I120">
        <f>D120-F120</f>
        <v>-75.099999999999994</v>
      </c>
    </row>
    <row r="121" spans="1:9" x14ac:dyDescent="0.25">
      <c r="A121" t="s">
        <v>49</v>
      </c>
      <c r="B121" t="s">
        <v>20</v>
      </c>
      <c r="C121" t="s">
        <v>18</v>
      </c>
      <c r="D121">
        <v>165</v>
      </c>
      <c r="E121">
        <v>15</v>
      </c>
      <c r="F121">
        <v>240.3</v>
      </c>
      <c r="G121">
        <f>ABS(D121-F121)</f>
        <v>75.300000000000011</v>
      </c>
      <c r="H121" t="str">
        <f>IF(G121&lt;=$R$5,"SI","NO")</f>
        <v>NO</v>
      </c>
      <c r="I121">
        <f>D121-F121</f>
        <v>-75.300000000000011</v>
      </c>
    </row>
    <row r="122" spans="1:9" x14ac:dyDescent="0.25">
      <c r="A122" t="s">
        <v>49</v>
      </c>
      <c r="B122" t="s">
        <v>20</v>
      </c>
      <c r="C122" t="s">
        <v>22</v>
      </c>
      <c r="D122">
        <v>194</v>
      </c>
      <c r="E122">
        <v>15</v>
      </c>
      <c r="F122">
        <v>269.8</v>
      </c>
      <c r="G122">
        <f>ABS(D122-F122)</f>
        <v>75.800000000000011</v>
      </c>
      <c r="H122" t="str">
        <f>IF(G122&lt;=$R$5,"SI","NO")</f>
        <v>NO</v>
      </c>
      <c r="I122">
        <f>D122-F122</f>
        <v>-75.800000000000011</v>
      </c>
    </row>
    <row r="123" spans="1:9" x14ac:dyDescent="0.25">
      <c r="A123" t="s">
        <v>42</v>
      </c>
      <c r="B123" t="s">
        <v>43</v>
      </c>
      <c r="C123" t="s">
        <v>10</v>
      </c>
      <c r="D123">
        <v>39</v>
      </c>
      <c r="E123">
        <v>15</v>
      </c>
      <c r="F123">
        <v>115</v>
      </c>
      <c r="G123">
        <f>ABS(D123-F123)</f>
        <v>76</v>
      </c>
      <c r="H123" t="str">
        <f>IF(G123&lt;=$R$5,"SI","NO")</f>
        <v>NO</v>
      </c>
      <c r="I123">
        <f>D123-F123</f>
        <v>-76</v>
      </c>
    </row>
    <row r="124" spans="1:9" x14ac:dyDescent="0.25">
      <c r="A124" t="s">
        <v>42</v>
      </c>
      <c r="B124" t="s">
        <v>44</v>
      </c>
      <c r="C124" t="s">
        <v>15</v>
      </c>
      <c r="D124">
        <v>142</v>
      </c>
      <c r="E124">
        <v>15</v>
      </c>
      <c r="F124">
        <v>218</v>
      </c>
      <c r="G124">
        <f>ABS(D124-F124)</f>
        <v>76</v>
      </c>
      <c r="H124" t="str">
        <f>IF(G124&lt;=$R$5,"SI","NO")</f>
        <v>NO</v>
      </c>
      <c r="I124">
        <f>D124-F124</f>
        <v>-76</v>
      </c>
    </row>
    <row r="125" spans="1:9" x14ac:dyDescent="0.25">
      <c r="A125" t="s">
        <v>52</v>
      </c>
      <c r="B125" t="s">
        <v>20</v>
      </c>
      <c r="C125" t="s">
        <v>12</v>
      </c>
      <c r="D125">
        <v>78</v>
      </c>
      <c r="E125">
        <v>15</v>
      </c>
      <c r="F125">
        <v>155.6</v>
      </c>
      <c r="G125">
        <f>ABS(D125-F125)</f>
        <v>77.599999999999994</v>
      </c>
      <c r="H125" t="str">
        <f>IF(G125&lt;=$R$5,"SI","NO")</f>
        <v>NO</v>
      </c>
      <c r="I125">
        <f>D125-F125</f>
        <v>-77.599999999999994</v>
      </c>
    </row>
    <row r="126" spans="1:9" x14ac:dyDescent="0.25">
      <c r="A126" t="s">
        <v>21</v>
      </c>
      <c r="B126" t="s">
        <v>7</v>
      </c>
      <c r="C126" t="s">
        <v>13</v>
      </c>
      <c r="D126">
        <v>84</v>
      </c>
      <c r="E126">
        <v>15</v>
      </c>
      <c r="F126">
        <v>5.4</v>
      </c>
      <c r="G126">
        <f>ABS(D126-F126)</f>
        <v>78.599999999999994</v>
      </c>
      <c r="H126" t="str">
        <f>IF(G126&lt;=$R$5,"SI","NO")</f>
        <v>NO</v>
      </c>
      <c r="I126">
        <f>D126-F126</f>
        <v>78.599999999999994</v>
      </c>
    </row>
    <row r="127" spans="1:9" x14ac:dyDescent="0.25">
      <c r="A127" t="s">
        <v>21</v>
      </c>
      <c r="B127" t="s">
        <v>7</v>
      </c>
      <c r="C127" t="s">
        <v>14</v>
      </c>
      <c r="D127">
        <v>84</v>
      </c>
      <c r="E127">
        <v>15</v>
      </c>
      <c r="F127">
        <v>5.4</v>
      </c>
      <c r="G127">
        <f>ABS(D127-F127)</f>
        <v>78.599999999999994</v>
      </c>
      <c r="H127" t="str">
        <f>IF(G127&lt;=$R$5,"SI","NO")</f>
        <v>NO</v>
      </c>
      <c r="I127">
        <f>D127-F127</f>
        <v>78.599999999999994</v>
      </c>
    </row>
    <row r="128" spans="1:9" x14ac:dyDescent="0.25">
      <c r="A128" t="s">
        <v>26</v>
      </c>
      <c r="B128" t="s">
        <v>27</v>
      </c>
      <c r="C128" t="s">
        <v>14</v>
      </c>
      <c r="D128">
        <v>22</v>
      </c>
      <c r="E128">
        <v>15</v>
      </c>
      <c r="F128">
        <v>100.6</v>
      </c>
      <c r="G128">
        <f>ABS(D128-F128)</f>
        <v>78.599999999999994</v>
      </c>
      <c r="H128" t="str">
        <f>IF(G128&lt;=$R$5,"SI","NO")</f>
        <v>NO</v>
      </c>
      <c r="I128">
        <f>D128-F128</f>
        <v>-78.599999999999994</v>
      </c>
    </row>
    <row r="129" spans="1:9" x14ac:dyDescent="0.25">
      <c r="A129" t="s">
        <v>42</v>
      </c>
      <c r="B129" t="s">
        <v>44</v>
      </c>
      <c r="C129" t="s">
        <v>13</v>
      </c>
      <c r="D129">
        <v>112</v>
      </c>
      <c r="E129">
        <v>15</v>
      </c>
      <c r="F129">
        <v>194.4</v>
      </c>
      <c r="G129">
        <f>ABS(D129-F129)</f>
        <v>82.4</v>
      </c>
      <c r="H129" t="str">
        <f>IF(G129&lt;=$R$5,"SI","NO")</f>
        <v>NO</v>
      </c>
      <c r="I129">
        <f>D129-F129</f>
        <v>-82.4</v>
      </c>
    </row>
    <row r="130" spans="1:9" x14ac:dyDescent="0.25">
      <c r="A130" t="s">
        <v>46</v>
      </c>
      <c r="B130" t="s">
        <v>47</v>
      </c>
      <c r="C130" t="s">
        <v>10</v>
      </c>
      <c r="D130">
        <v>88</v>
      </c>
      <c r="E130">
        <v>15</v>
      </c>
      <c r="F130">
        <v>4.8000000000000007</v>
      </c>
      <c r="G130">
        <f>ABS(D130-F130)</f>
        <v>83.2</v>
      </c>
      <c r="H130" t="str">
        <f>IF(G130&lt;=$R$5,"SI","NO")</f>
        <v>NO</v>
      </c>
      <c r="I130">
        <f>D130-F130</f>
        <v>83.2</v>
      </c>
    </row>
    <row r="131" spans="1:9" x14ac:dyDescent="0.25">
      <c r="A131" t="s">
        <v>48</v>
      </c>
      <c r="B131" t="s">
        <v>20</v>
      </c>
      <c r="C131" t="s">
        <v>15</v>
      </c>
      <c r="D131">
        <v>104</v>
      </c>
      <c r="E131">
        <v>15</v>
      </c>
      <c r="F131">
        <v>20.7</v>
      </c>
      <c r="G131">
        <f>ABS(D131-F131)</f>
        <v>83.3</v>
      </c>
      <c r="H131" t="str">
        <f>IF(G131&lt;=$R$5,"SI","NO")</f>
        <v>NO</v>
      </c>
      <c r="I131">
        <f>D131-F131</f>
        <v>83.3</v>
      </c>
    </row>
    <row r="132" spans="1:9" x14ac:dyDescent="0.25">
      <c r="A132" t="s">
        <v>52</v>
      </c>
      <c r="B132" t="s">
        <v>20</v>
      </c>
      <c r="C132" t="s">
        <v>13</v>
      </c>
      <c r="D132">
        <v>93</v>
      </c>
      <c r="E132">
        <v>15</v>
      </c>
      <c r="F132">
        <v>176.9</v>
      </c>
      <c r="G132">
        <f>ABS(D132-F132)</f>
        <v>83.9</v>
      </c>
      <c r="H132" t="str">
        <f>IF(G132&lt;=$R$5,"SI","NO")</f>
        <v>NO</v>
      </c>
      <c r="I132">
        <f>D132-F132</f>
        <v>-83.9</v>
      </c>
    </row>
    <row r="133" spans="1:9" x14ac:dyDescent="0.25">
      <c r="A133" t="s">
        <v>49</v>
      </c>
      <c r="B133" t="s">
        <v>20</v>
      </c>
      <c r="C133" t="s">
        <v>12</v>
      </c>
      <c r="D133">
        <v>46</v>
      </c>
      <c r="E133">
        <v>15</v>
      </c>
      <c r="F133">
        <v>130.6</v>
      </c>
      <c r="G133">
        <f>ABS(D133-F133)</f>
        <v>84.6</v>
      </c>
      <c r="H133" t="str">
        <f>IF(G133&lt;=$R$5,"SI","NO")</f>
        <v>NO</v>
      </c>
      <c r="I133">
        <f>D133-F133</f>
        <v>-84.6</v>
      </c>
    </row>
    <row r="134" spans="1:9" x14ac:dyDescent="0.25">
      <c r="A134" t="s">
        <v>49</v>
      </c>
      <c r="B134" t="s">
        <v>47</v>
      </c>
      <c r="C134" t="s">
        <v>10</v>
      </c>
      <c r="D134">
        <v>46</v>
      </c>
      <c r="E134">
        <v>15</v>
      </c>
      <c r="F134">
        <v>130.80000000000001</v>
      </c>
      <c r="G134">
        <f>ABS(D134-F134)</f>
        <v>84.800000000000011</v>
      </c>
      <c r="H134" t="str">
        <f>IF(G134&lt;=$R$5,"SI","NO")</f>
        <v>NO</v>
      </c>
      <c r="I134">
        <f>D134-F134</f>
        <v>-84.800000000000011</v>
      </c>
    </row>
    <row r="135" spans="1:9" x14ac:dyDescent="0.25">
      <c r="A135" t="s">
        <v>42</v>
      </c>
      <c r="B135" t="s">
        <v>45</v>
      </c>
      <c r="C135" t="s">
        <v>11</v>
      </c>
      <c r="D135">
        <v>55</v>
      </c>
      <c r="E135">
        <v>15</v>
      </c>
      <c r="F135">
        <v>140.6</v>
      </c>
      <c r="G135">
        <f>ABS(D135-F135)</f>
        <v>85.6</v>
      </c>
      <c r="H135" t="str">
        <f>IF(G135&lt;=$R$5,"SI","NO")</f>
        <v>NO</v>
      </c>
      <c r="I135">
        <f>D135-F135</f>
        <v>-85.6</v>
      </c>
    </row>
    <row r="136" spans="1:9" x14ac:dyDescent="0.25">
      <c r="A136" t="s">
        <v>6</v>
      </c>
      <c r="B136" t="s">
        <v>20</v>
      </c>
      <c r="C136" t="s">
        <v>18</v>
      </c>
      <c r="D136">
        <v>147</v>
      </c>
      <c r="E136">
        <v>15</v>
      </c>
      <c r="F136">
        <v>60.3</v>
      </c>
      <c r="G136">
        <f>ABS(D136-F136)</f>
        <v>86.7</v>
      </c>
      <c r="H136" t="str">
        <f>IF(G136&lt;=$R$5,"SI","NO")</f>
        <v>NO</v>
      </c>
      <c r="I136">
        <f>D136-F136</f>
        <v>86.7</v>
      </c>
    </row>
    <row r="137" spans="1:9" x14ac:dyDescent="0.25">
      <c r="A137" t="s">
        <v>6</v>
      </c>
      <c r="B137" t="s">
        <v>7</v>
      </c>
      <c r="C137" t="s">
        <v>12</v>
      </c>
      <c r="D137">
        <v>60</v>
      </c>
      <c r="E137">
        <v>15</v>
      </c>
      <c r="F137">
        <v>149.19999999999999</v>
      </c>
      <c r="G137">
        <f>ABS(D137-F137)</f>
        <v>89.199999999999989</v>
      </c>
      <c r="H137" t="str">
        <f>IF(G137&lt;=$R$5,"SI","NO")</f>
        <v>NO</v>
      </c>
      <c r="I137">
        <f>D137-F137</f>
        <v>-89.199999999999989</v>
      </c>
    </row>
    <row r="138" spans="1:9" x14ac:dyDescent="0.25">
      <c r="A138" t="s">
        <v>26</v>
      </c>
      <c r="B138" t="s">
        <v>27</v>
      </c>
      <c r="C138" t="s">
        <v>32</v>
      </c>
      <c r="D138">
        <v>62</v>
      </c>
      <c r="E138">
        <v>20</v>
      </c>
      <c r="F138">
        <v>151.69999999999999</v>
      </c>
      <c r="G138">
        <f>ABS(D138-F138)</f>
        <v>89.699999999999989</v>
      </c>
      <c r="H138" t="str">
        <f>IF(G138&lt;=$R$5,"SI","NO")</f>
        <v>NO</v>
      </c>
      <c r="I138">
        <f>D138-F138</f>
        <v>-89.699999999999989</v>
      </c>
    </row>
    <row r="139" spans="1:9" x14ac:dyDescent="0.25">
      <c r="A139" t="s">
        <v>42</v>
      </c>
      <c r="B139" t="s">
        <v>43</v>
      </c>
      <c r="C139" t="s">
        <v>9</v>
      </c>
      <c r="D139">
        <v>24</v>
      </c>
      <c r="E139">
        <v>15</v>
      </c>
      <c r="F139">
        <v>115</v>
      </c>
      <c r="G139">
        <f>ABS(D139-F139)</f>
        <v>91</v>
      </c>
      <c r="H139" t="str">
        <f>IF(G139&lt;=$R$5,"SI","NO")</f>
        <v>NO</v>
      </c>
      <c r="I139">
        <f>D139-F139</f>
        <v>-91</v>
      </c>
    </row>
    <row r="140" spans="1:9" x14ac:dyDescent="0.25">
      <c r="A140" t="s">
        <v>42</v>
      </c>
      <c r="B140" t="s">
        <v>44</v>
      </c>
      <c r="C140" t="s">
        <v>14</v>
      </c>
      <c r="D140">
        <v>127</v>
      </c>
      <c r="E140">
        <v>15</v>
      </c>
      <c r="F140">
        <v>218</v>
      </c>
      <c r="G140">
        <f>ABS(D140-F140)</f>
        <v>91</v>
      </c>
      <c r="H140" t="str">
        <f>IF(G140&lt;=$R$5,"SI","NO")</f>
        <v>NO</v>
      </c>
      <c r="I140">
        <f>D140-F140</f>
        <v>-91</v>
      </c>
    </row>
    <row r="141" spans="1:9" x14ac:dyDescent="0.25">
      <c r="A141" t="s">
        <v>48</v>
      </c>
      <c r="B141" t="s">
        <v>20</v>
      </c>
      <c r="C141" t="s">
        <v>18</v>
      </c>
      <c r="D141">
        <v>151</v>
      </c>
      <c r="E141">
        <v>15</v>
      </c>
      <c r="F141">
        <v>243.4</v>
      </c>
      <c r="G141">
        <f>ABS(D141-F141)</f>
        <v>92.4</v>
      </c>
      <c r="H141" t="str">
        <f>IF(G141&lt;=$R$5,"SI","NO")</f>
        <v>NO</v>
      </c>
      <c r="I141">
        <f>D141-F141</f>
        <v>-92.4</v>
      </c>
    </row>
    <row r="142" spans="1:9" x14ac:dyDescent="0.25">
      <c r="A142" t="s">
        <v>50</v>
      </c>
      <c r="B142" t="s">
        <v>20</v>
      </c>
      <c r="C142" t="s">
        <v>18</v>
      </c>
      <c r="D142">
        <v>169</v>
      </c>
      <c r="E142">
        <v>15</v>
      </c>
      <c r="F142">
        <v>76.5</v>
      </c>
      <c r="G142">
        <f>ABS(D142-F142)</f>
        <v>92.5</v>
      </c>
      <c r="H142" t="str">
        <f>IF(G142&lt;=$R$5,"SI","NO")</f>
        <v>NO</v>
      </c>
      <c r="I142">
        <f>D142-F142</f>
        <v>92.5</v>
      </c>
    </row>
    <row r="143" spans="1:9" x14ac:dyDescent="0.25">
      <c r="A143" t="s">
        <v>52</v>
      </c>
      <c r="B143" t="s">
        <v>20</v>
      </c>
      <c r="C143" t="s">
        <v>11</v>
      </c>
      <c r="D143">
        <v>62</v>
      </c>
      <c r="E143">
        <v>15</v>
      </c>
      <c r="F143">
        <v>155.6</v>
      </c>
      <c r="G143">
        <f>ABS(D143-F143)</f>
        <v>93.6</v>
      </c>
      <c r="H143" t="str">
        <f>IF(G143&lt;=$R$5,"SI","NO")</f>
        <v>NO</v>
      </c>
      <c r="I143">
        <f>D143-F143</f>
        <v>-93.6</v>
      </c>
    </row>
    <row r="144" spans="1:9" x14ac:dyDescent="0.25">
      <c r="A144" t="s">
        <v>50</v>
      </c>
      <c r="B144" t="s">
        <v>20</v>
      </c>
      <c r="C144" t="s">
        <v>10</v>
      </c>
      <c r="D144">
        <v>39</v>
      </c>
      <c r="E144">
        <v>15</v>
      </c>
      <c r="F144">
        <v>133.5</v>
      </c>
      <c r="G144">
        <f>ABS(D144-F144)</f>
        <v>94.5</v>
      </c>
      <c r="H144" t="str">
        <f>IF(G144&lt;=$R$5,"SI","NO")</f>
        <v>NO</v>
      </c>
      <c r="I144">
        <f>D144-F144</f>
        <v>-94.5</v>
      </c>
    </row>
    <row r="145" spans="1:9" x14ac:dyDescent="0.25">
      <c r="A145" t="s">
        <v>21</v>
      </c>
      <c r="B145" t="s">
        <v>7</v>
      </c>
      <c r="C145" t="s">
        <v>15</v>
      </c>
      <c r="D145">
        <v>100</v>
      </c>
      <c r="E145">
        <v>15</v>
      </c>
      <c r="F145">
        <v>5.4</v>
      </c>
      <c r="G145">
        <f>ABS(D145-F145)</f>
        <v>94.6</v>
      </c>
      <c r="H145" t="str">
        <f>IF(G145&lt;=$R$5,"SI","NO")</f>
        <v>NO</v>
      </c>
      <c r="I145">
        <f>D145-F145</f>
        <v>94.6</v>
      </c>
    </row>
    <row r="146" spans="1:9" x14ac:dyDescent="0.25">
      <c r="A146" t="s">
        <v>49</v>
      </c>
      <c r="B146" t="s">
        <v>47</v>
      </c>
      <c r="C146" t="s">
        <v>14</v>
      </c>
      <c r="D146">
        <v>227</v>
      </c>
      <c r="E146">
        <v>15</v>
      </c>
      <c r="F146">
        <v>130.80000000000001</v>
      </c>
      <c r="G146">
        <f>ABS(D146-F146)</f>
        <v>96.199999999999989</v>
      </c>
      <c r="H146" t="str">
        <f>IF(G146&lt;=$R$5,"SI","NO")</f>
        <v>NO</v>
      </c>
      <c r="I146">
        <f>D146-F146</f>
        <v>96.199999999999989</v>
      </c>
    </row>
    <row r="147" spans="1:9" x14ac:dyDescent="0.25">
      <c r="A147" t="s">
        <v>6</v>
      </c>
      <c r="B147" t="s">
        <v>20</v>
      </c>
      <c r="C147" t="s">
        <v>13</v>
      </c>
      <c r="D147">
        <v>74</v>
      </c>
      <c r="E147">
        <v>15</v>
      </c>
      <c r="F147">
        <v>172.8</v>
      </c>
      <c r="G147">
        <f>ABS(D147-F147)</f>
        <v>98.800000000000011</v>
      </c>
      <c r="H147" t="str">
        <f>IF(G147&lt;=$R$5,"SI","NO")</f>
        <v>NO</v>
      </c>
      <c r="I147">
        <f>D147-F147</f>
        <v>-98.800000000000011</v>
      </c>
    </row>
    <row r="148" spans="1:9" x14ac:dyDescent="0.25">
      <c r="A148" t="s">
        <v>49</v>
      </c>
      <c r="B148" t="s">
        <v>47</v>
      </c>
      <c r="C148" t="s">
        <v>9</v>
      </c>
      <c r="D148">
        <v>31</v>
      </c>
      <c r="E148">
        <v>15</v>
      </c>
      <c r="F148">
        <v>130.6</v>
      </c>
      <c r="G148">
        <f>ABS(D148-F148)</f>
        <v>99.6</v>
      </c>
      <c r="H148" t="str">
        <f>IF(G148&lt;=$R$5,"SI","NO")</f>
        <v>NO</v>
      </c>
      <c r="I148">
        <f>D148-F148</f>
        <v>-99.6</v>
      </c>
    </row>
    <row r="149" spans="1:9" x14ac:dyDescent="0.25">
      <c r="A149" t="s">
        <v>26</v>
      </c>
      <c r="B149" t="s">
        <v>27</v>
      </c>
      <c r="C149" t="s">
        <v>31</v>
      </c>
      <c r="D149">
        <v>52</v>
      </c>
      <c r="E149">
        <v>20</v>
      </c>
      <c r="F149">
        <v>151.69999999999999</v>
      </c>
      <c r="G149">
        <f>ABS(D149-F149)</f>
        <v>99.699999999999989</v>
      </c>
      <c r="H149" t="str">
        <f>IF(G149&lt;=$R$5,"SI","NO")</f>
        <v>NO</v>
      </c>
      <c r="I149">
        <f>D149-F149</f>
        <v>-99.699999999999989</v>
      </c>
    </row>
    <row r="150" spans="1:9" x14ac:dyDescent="0.25">
      <c r="A150" t="s">
        <v>48</v>
      </c>
      <c r="B150" t="s">
        <v>20</v>
      </c>
      <c r="C150" t="s">
        <v>29</v>
      </c>
      <c r="D150">
        <v>221</v>
      </c>
      <c r="E150">
        <v>15</v>
      </c>
      <c r="F150">
        <v>119</v>
      </c>
      <c r="G150">
        <f>ABS(D150-F150)</f>
        <v>102</v>
      </c>
      <c r="H150" t="str">
        <f>IF(G150&lt;=$R$5,"SI","NO")</f>
        <v>NO</v>
      </c>
      <c r="I150">
        <f>D150-F150</f>
        <v>102</v>
      </c>
    </row>
    <row r="151" spans="1:9" x14ac:dyDescent="0.25">
      <c r="A151" t="s">
        <v>6</v>
      </c>
      <c r="B151" t="s">
        <v>20</v>
      </c>
      <c r="C151" t="s">
        <v>19</v>
      </c>
      <c r="D151">
        <v>163</v>
      </c>
      <c r="E151">
        <v>15</v>
      </c>
      <c r="F151">
        <v>60.3</v>
      </c>
      <c r="G151">
        <f>ABS(D151-F151)</f>
        <v>102.7</v>
      </c>
      <c r="H151" t="str">
        <f>IF(G151&lt;=$R$5,"SI","NO")</f>
        <v>NO</v>
      </c>
      <c r="I151">
        <f>D151-F151</f>
        <v>102.7</v>
      </c>
    </row>
    <row r="152" spans="1:9" x14ac:dyDescent="0.25">
      <c r="A152" t="s">
        <v>42</v>
      </c>
      <c r="B152" t="s">
        <v>43</v>
      </c>
      <c r="C152" t="s">
        <v>16</v>
      </c>
      <c r="D152">
        <v>129</v>
      </c>
      <c r="E152">
        <v>15</v>
      </c>
      <c r="F152">
        <v>232.5</v>
      </c>
      <c r="G152">
        <f>ABS(D152-F152)</f>
        <v>103.5</v>
      </c>
      <c r="H152" t="str">
        <f>IF(G152&lt;=$R$5,"SI","NO")</f>
        <v>NO</v>
      </c>
      <c r="I152">
        <f>D152-F152</f>
        <v>-103.5</v>
      </c>
    </row>
    <row r="153" spans="1:9" x14ac:dyDescent="0.25">
      <c r="A153" t="s">
        <v>6</v>
      </c>
      <c r="B153" t="s">
        <v>7</v>
      </c>
      <c r="C153" t="s">
        <v>11</v>
      </c>
      <c r="D153">
        <v>45</v>
      </c>
      <c r="E153">
        <v>15</v>
      </c>
      <c r="F153">
        <v>149.19999999999999</v>
      </c>
      <c r="G153">
        <f>ABS(D153-F153)</f>
        <v>104.19999999999999</v>
      </c>
      <c r="H153" t="str">
        <f>IF(G153&lt;=$R$5,"SI","NO")</f>
        <v>NO</v>
      </c>
      <c r="I153">
        <f>D153-F153</f>
        <v>-104.19999999999999</v>
      </c>
    </row>
    <row r="154" spans="1:9" x14ac:dyDescent="0.25">
      <c r="A154" t="s">
        <v>6</v>
      </c>
      <c r="B154" t="s">
        <v>7</v>
      </c>
      <c r="C154" t="s">
        <v>19</v>
      </c>
      <c r="D154">
        <v>165</v>
      </c>
      <c r="E154">
        <v>15</v>
      </c>
      <c r="F154">
        <v>60.3</v>
      </c>
      <c r="G154">
        <f>ABS(D154-F154)</f>
        <v>104.7</v>
      </c>
      <c r="H154" t="str">
        <f>IF(G154&lt;=$R$5,"SI","NO")</f>
        <v>NO</v>
      </c>
      <c r="I154">
        <f>D154-F154</f>
        <v>104.7</v>
      </c>
    </row>
    <row r="155" spans="1:9" x14ac:dyDescent="0.25">
      <c r="A155" t="s">
        <v>21</v>
      </c>
      <c r="B155" t="s">
        <v>7</v>
      </c>
      <c r="C155" t="s">
        <v>16</v>
      </c>
      <c r="D155">
        <v>109</v>
      </c>
      <c r="E155">
        <v>15</v>
      </c>
      <c r="F155">
        <v>4.1000000000000014</v>
      </c>
      <c r="G155">
        <f>ABS(D155-F155)</f>
        <v>104.9</v>
      </c>
      <c r="H155" t="str">
        <f>IF(G155&lt;=$R$5,"SI","NO")</f>
        <v>NO</v>
      </c>
      <c r="I155">
        <f>D155-F155</f>
        <v>104.9</v>
      </c>
    </row>
    <row r="156" spans="1:9" x14ac:dyDescent="0.25">
      <c r="A156" t="s">
        <v>48</v>
      </c>
      <c r="B156" t="s">
        <v>20</v>
      </c>
      <c r="C156" t="s">
        <v>17</v>
      </c>
      <c r="D156">
        <v>136</v>
      </c>
      <c r="E156">
        <v>15</v>
      </c>
      <c r="F156">
        <v>243.3</v>
      </c>
      <c r="G156">
        <f>ABS(D156-F156)</f>
        <v>107.30000000000001</v>
      </c>
      <c r="H156" t="str">
        <f>IF(G156&lt;=$R$5,"SI","NO")</f>
        <v>NO</v>
      </c>
      <c r="I156">
        <f>D156-F156</f>
        <v>-107.30000000000001</v>
      </c>
    </row>
    <row r="157" spans="1:9" x14ac:dyDescent="0.25">
      <c r="A157" t="s">
        <v>52</v>
      </c>
      <c r="B157" t="s">
        <v>20</v>
      </c>
      <c r="C157" t="s">
        <v>10</v>
      </c>
      <c r="D157">
        <v>48</v>
      </c>
      <c r="E157">
        <v>15</v>
      </c>
      <c r="F157">
        <v>155.6</v>
      </c>
      <c r="G157">
        <f>ABS(D157-F157)</f>
        <v>107.6</v>
      </c>
      <c r="H157" t="str">
        <f>IF(G157&lt;=$R$5,"SI","NO")</f>
        <v>NO</v>
      </c>
      <c r="I157">
        <f>D157-F157</f>
        <v>-107.6</v>
      </c>
    </row>
    <row r="158" spans="1:9" x14ac:dyDescent="0.25">
      <c r="A158" t="s">
        <v>26</v>
      </c>
      <c r="B158" t="s">
        <v>27</v>
      </c>
      <c r="C158" t="s">
        <v>38</v>
      </c>
      <c r="D158">
        <v>44</v>
      </c>
      <c r="E158">
        <v>30</v>
      </c>
      <c r="F158">
        <v>151.69999999999999</v>
      </c>
      <c r="G158">
        <f>ABS(D158-F158)</f>
        <v>107.69999999999999</v>
      </c>
      <c r="H158" t="str">
        <f>IF(G158&lt;=$R$5,"SI","NO")</f>
        <v>NO</v>
      </c>
      <c r="I158">
        <f>D158-F158</f>
        <v>-107.69999999999999</v>
      </c>
    </row>
    <row r="159" spans="1:9" x14ac:dyDescent="0.25">
      <c r="A159" t="s">
        <v>50</v>
      </c>
      <c r="B159" t="s">
        <v>20</v>
      </c>
      <c r="C159" t="s">
        <v>19</v>
      </c>
      <c r="D159">
        <v>185</v>
      </c>
      <c r="E159">
        <v>15</v>
      </c>
      <c r="F159">
        <v>76.2</v>
      </c>
      <c r="G159">
        <f>ABS(D159-F159)</f>
        <v>108.8</v>
      </c>
      <c r="H159" t="str">
        <f>IF(G159&lt;=$R$5,"SI","NO")</f>
        <v>NO</v>
      </c>
      <c r="I159">
        <f>D159-F159</f>
        <v>108.8</v>
      </c>
    </row>
    <row r="160" spans="1:9" x14ac:dyDescent="0.25">
      <c r="A160" t="s">
        <v>49</v>
      </c>
      <c r="B160" t="s">
        <v>47</v>
      </c>
      <c r="C160" t="s">
        <v>15</v>
      </c>
      <c r="D160">
        <v>243</v>
      </c>
      <c r="E160">
        <v>15</v>
      </c>
      <c r="F160">
        <v>130.80000000000001</v>
      </c>
      <c r="G160">
        <f>ABS(D160-F160)</f>
        <v>112.19999999999999</v>
      </c>
      <c r="H160" t="str">
        <f>IF(G160&lt;=$R$5,"SI","NO")</f>
        <v>NO</v>
      </c>
      <c r="I160">
        <f>D160-F160</f>
        <v>112.19999999999999</v>
      </c>
    </row>
    <row r="161" spans="1:9" x14ac:dyDescent="0.25">
      <c r="A161" t="s">
        <v>21</v>
      </c>
      <c r="B161" t="s">
        <v>20</v>
      </c>
      <c r="C161" t="s">
        <v>11</v>
      </c>
      <c r="D161">
        <v>-1</v>
      </c>
      <c r="E161">
        <v>15</v>
      </c>
      <c r="F161">
        <v>113.5</v>
      </c>
      <c r="G161">
        <f>ABS(D161-F161)</f>
        <v>114.5</v>
      </c>
      <c r="H161" t="str">
        <f>IF(G161&lt;=$R$5,"SI","NO")</f>
        <v>NO</v>
      </c>
      <c r="I161">
        <f>D161-F161</f>
        <v>-114.5</v>
      </c>
    </row>
    <row r="162" spans="1:9" x14ac:dyDescent="0.25">
      <c r="A162" t="s">
        <v>21</v>
      </c>
      <c r="B162" t="s">
        <v>20</v>
      </c>
      <c r="C162" t="s">
        <v>23</v>
      </c>
      <c r="D162">
        <v>119</v>
      </c>
      <c r="E162">
        <v>15</v>
      </c>
      <c r="F162">
        <v>4.1000000000000014</v>
      </c>
      <c r="G162">
        <f>ABS(D162-F162)</f>
        <v>114.9</v>
      </c>
      <c r="H162" t="str">
        <f>IF(G162&lt;=$R$5,"SI","NO")</f>
        <v>NO</v>
      </c>
      <c r="I162">
        <f>D162-F162</f>
        <v>114.9</v>
      </c>
    </row>
    <row r="163" spans="1:9" x14ac:dyDescent="0.25">
      <c r="A163" t="s">
        <v>21</v>
      </c>
      <c r="B163" t="s">
        <v>20</v>
      </c>
      <c r="C163" t="s">
        <v>10</v>
      </c>
      <c r="D163">
        <v>-1</v>
      </c>
      <c r="E163">
        <v>15</v>
      </c>
      <c r="F163">
        <v>114.2</v>
      </c>
      <c r="G163">
        <f>ABS(D163-F163)</f>
        <v>115.2</v>
      </c>
      <c r="H163" t="str">
        <f>IF(G163&lt;=$R$5,"SI","NO")</f>
        <v>NO</v>
      </c>
      <c r="I163">
        <f>D163-F163</f>
        <v>-115.2</v>
      </c>
    </row>
    <row r="164" spans="1:9" x14ac:dyDescent="0.25">
      <c r="A164" t="s">
        <v>50</v>
      </c>
      <c r="B164" t="s">
        <v>20</v>
      </c>
      <c r="C164" t="s">
        <v>9</v>
      </c>
      <c r="D164">
        <v>22</v>
      </c>
      <c r="E164">
        <v>15</v>
      </c>
      <c r="F164">
        <v>137.4</v>
      </c>
      <c r="G164">
        <f>ABS(D164-F164)</f>
        <v>115.4</v>
      </c>
      <c r="H164" t="str">
        <f>IF(G164&lt;=$R$5,"SI","NO")</f>
        <v>NO</v>
      </c>
      <c r="I164">
        <f>D164-F164</f>
        <v>-115.4</v>
      </c>
    </row>
    <row r="165" spans="1:9" x14ac:dyDescent="0.25">
      <c r="A165" t="s">
        <v>49</v>
      </c>
      <c r="B165" t="s">
        <v>47</v>
      </c>
      <c r="C165" t="s">
        <v>8</v>
      </c>
      <c r="D165">
        <v>14</v>
      </c>
      <c r="E165">
        <v>15</v>
      </c>
      <c r="F165">
        <v>130.80000000000001</v>
      </c>
      <c r="G165">
        <f>ABS(D165-F165)</f>
        <v>116.80000000000001</v>
      </c>
      <c r="H165" t="str">
        <f>IF(G165&lt;=$R$5,"SI","NO")</f>
        <v>NO</v>
      </c>
      <c r="I165">
        <f>D165-F165</f>
        <v>-116.80000000000001</v>
      </c>
    </row>
    <row r="166" spans="1:9" x14ac:dyDescent="0.25">
      <c r="A166" t="s">
        <v>48</v>
      </c>
      <c r="B166" t="s">
        <v>47</v>
      </c>
      <c r="C166" t="s">
        <v>9</v>
      </c>
      <c r="D166">
        <v>89</v>
      </c>
      <c r="E166">
        <v>15</v>
      </c>
      <c r="F166">
        <v>206.6</v>
      </c>
      <c r="G166">
        <f>ABS(D166-F166)</f>
        <v>117.6</v>
      </c>
      <c r="H166" t="str">
        <f>IF(G166&lt;=$R$5,"SI","NO")</f>
        <v>NO</v>
      </c>
      <c r="I166">
        <f>D166-F166</f>
        <v>-117.6</v>
      </c>
    </row>
    <row r="167" spans="1:9" x14ac:dyDescent="0.25">
      <c r="A167" t="s">
        <v>6</v>
      </c>
      <c r="B167" t="s">
        <v>20</v>
      </c>
      <c r="C167" t="s">
        <v>16</v>
      </c>
      <c r="D167">
        <v>118</v>
      </c>
      <c r="E167">
        <v>15</v>
      </c>
      <c r="F167">
        <v>0.2</v>
      </c>
      <c r="G167">
        <f>ABS(D167-F167)</f>
        <v>117.8</v>
      </c>
      <c r="H167" t="str">
        <f>IF(G167&lt;=$R$5,"SI","NO")</f>
        <v>NO</v>
      </c>
      <c r="I167">
        <f>D167-F167</f>
        <v>117.8</v>
      </c>
    </row>
    <row r="168" spans="1:9" x14ac:dyDescent="0.25">
      <c r="A168" t="s">
        <v>48</v>
      </c>
      <c r="B168" t="s">
        <v>20</v>
      </c>
      <c r="C168" t="s">
        <v>8</v>
      </c>
      <c r="D168">
        <v>0</v>
      </c>
      <c r="E168">
        <v>15</v>
      </c>
      <c r="F168">
        <v>119</v>
      </c>
      <c r="G168">
        <f>ABS(D168-F168)</f>
        <v>119</v>
      </c>
      <c r="H168" t="str">
        <f>IF(G168&lt;=$R$5,"SI","NO")</f>
        <v>NO</v>
      </c>
      <c r="I168">
        <f>D168-F168</f>
        <v>-119</v>
      </c>
    </row>
    <row r="169" spans="1:9" x14ac:dyDescent="0.25">
      <c r="A169" t="s">
        <v>6</v>
      </c>
      <c r="B169" t="s">
        <v>7</v>
      </c>
      <c r="C169" t="s">
        <v>10</v>
      </c>
      <c r="D169">
        <v>30</v>
      </c>
      <c r="E169">
        <v>15</v>
      </c>
      <c r="F169">
        <v>149.19999999999999</v>
      </c>
      <c r="G169">
        <f>ABS(D169-F169)</f>
        <v>119.19999999999999</v>
      </c>
      <c r="H169" t="str">
        <f>IF(G169&lt;=$R$5,"SI","NO")</f>
        <v>NO</v>
      </c>
      <c r="I169">
        <f>D169-F169</f>
        <v>-119.19999999999999</v>
      </c>
    </row>
    <row r="170" spans="1:9" x14ac:dyDescent="0.25">
      <c r="A170" t="s">
        <v>48</v>
      </c>
      <c r="B170" t="s">
        <v>20</v>
      </c>
      <c r="C170" t="s">
        <v>32</v>
      </c>
      <c r="D170">
        <v>-1</v>
      </c>
      <c r="E170">
        <v>15</v>
      </c>
      <c r="F170">
        <v>119</v>
      </c>
      <c r="G170">
        <f>ABS(D170-F170)</f>
        <v>120</v>
      </c>
      <c r="H170" t="str">
        <f>IF(G170&lt;=$R$5,"SI","NO")</f>
        <v>NO</v>
      </c>
      <c r="I170">
        <f>D170-F170</f>
        <v>-120</v>
      </c>
    </row>
    <row r="171" spans="1:9" x14ac:dyDescent="0.25">
      <c r="A171" t="s">
        <v>48</v>
      </c>
      <c r="B171" t="s">
        <v>20</v>
      </c>
      <c r="C171" t="s">
        <v>33</v>
      </c>
      <c r="D171">
        <v>-1</v>
      </c>
      <c r="E171">
        <v>15</v>
      </c>
      <c r="F171">
        <v>119</v>
      </c>
      <c r="G171">
        <f>ABS(D171-F171)</f>
        <v>120</v>
      </c>
      <c r="H171" t="str">
        <f>IF(G171&lt;=$R$5,"SI","NO")</f>
        <v>NO</v>
      </c>
      <c r="I171">
        <f>D171-F171</f>
        <v>-120</v>
      </c>
    </row>
    <row r="172" spans="1:9" x14ac:dyDescent="0.25">
      <c r="A172" t="s">
        <v>6</v>
      </c>
      <c r="B172" t="s">
        <v>7</v>
      </c>
      <c r="C172" t="s">
        <v>17</v>
      </c>
      <c r="D172">
        <v>135</v>
      </c>
      <c r="E172">
        <v>15</v>
      </c>
      <c r="F172">
        <v>14.3</v>
      </c>
      <c r="G172">
        <f>ABS(D172-F172)</f>
        <v>120.7</v>
      </c>
      <c r="H172" t="str">
        <f>IF(G172&lt;=$R$5,"SI","NO")</f>
        <v>NO</v>
      </c>
      <c r="I172">
        <f>D172-F172</f>
        <v>120.7</v>
      </c>
    </row>
    <row r="173" spans="1:9" x14ac:dyDescent="0.25">
      <c r="A173" t="s">
        <v>48</v>
      </c>
      <c r="B173" t="s">
        <v>20</v>
      </c>
      <c r="C173" t="s">
        <v>16</v>
      </c>
      <c r="D173">
        <v>122</v>
      </c>
      <c r="E173">
        <v>15</v>
      </c>
      <c r="F173">
        <v>243</v>
      </c>
      <c r="G173">
        <f>ABS(D173-F173)</f>
        <v>121</v>
      </c>
      <c r="H173" t="str">
        <f>IF(G173&lt;=$R$5,"SI","NO")</f>
        <v>NO</v>
      </c>
      <c r="I173">
        <f>D173-F173</f>
        <v>-121</v>
      </c>
    </row>
    <row r="174" spans="1:9" x14ac:dyDescent="0.25">
      <c r="A174" t="s">
        <v>48</v>
      </c>
      <c r="B174" t="s">
        <v>47</v>
      </c>
      <c r="C174" t="s">
        <v>10</v>
      </c>
      <c r="D174">
        <v>105</v>
      </c>
      <c r="E174">
        <v>15</v>
      </c>
      <c r="F174">
        <v>226.5</v>
      </c>
      <c r="G174">
        <f>ABS(D174-F174)</f>
        <v>121.5</v>
      </c>
      <c r="H174" t="str">
        <f>IF(G174&lt;=$R$5,"SI","NO")</f>
        <v>NO</v>
      </c>
      <c r="I174">
        <f>D174-F174</f>
        <v>-121.5</v>
      </c>
    </row>
    <row r="175" spans="1:9" x14ac:dyDescent="0.25">
      <c r="A175" t="s">
        <v>21</v>
      </c>
      <c r="B175" t="s">
        <v>20</v>
      </c>
      <c r="C175" t="s">
        <v>25</v>
      </c>
      <c r="D175">
        <v>-1</v>
      </c>
      <c r="E175">
        <v>15</v>
      </c>
      <c r="F175">
        <v>122.6</v>
      </c>
      <c r="G175">
        <f>ABS(D175-F175)</f>
        <v>123.6</v>
      </c>
      <c r="H175" t="str">
        <f>IF(G175&lt;=$R$5,"SI","NO")</f>
        <v>NO</v>
      </c>
      <c r="I175">
        <f>D175-F175</f>
        <v>-123.6</v>
      </c>
    </row>
    <row r="176" spans="1:9" x14ac:dyDescent="0.25">
      <c r="A176" t="s">
        <v>52</v>
      </c>
      <c r="B176" t="s">
        <v>20</v>
      </c>
      <c r="C176" t="s">
        <v>9</v>
      </c>
      <c r="D176">
        <v>32</v>
      </c>
      <c r="E176">
        <v>15</v>
      </c>
      <c r="F176">
        <v>155.6</v>
      </c>
      <c r="G176">
        <f>ABS(D176-F176)</f>
        <v>123.6</v>
      </c>
      <c r="H176" t="str">
        <f>IF(G176&lt;=$R$5,"SI","NO")</f>
        <v>NO</v>
      </c>
      <c r="I176">
        <f>D176-F176</f>
        <v>-123.6</v>
      </c>
    </row>
    <row r="177" spans="1:9" x14ac:dyDescent="0.25">
      <c r="A177" t="s">
        <v>42</v>
      </c>
      <c r="B177" t="s">
        <v>44</v>
      </c>
      <c r="C177" t="s">
        <v>10</v>
      </c>
      <c r="D177">
        <v>67</v>
      </c>
      <c r="E177">
        <v>15</v>
      </c>
      <c r="F177">
        <v>194.4</v>
      </c>
      <c r="G177">
        <f>ABS(D177-F177)</f>
        <v>127.4</v>
      </c>
      <c r="H177" t="str">
        <f>IF(G177&lt;=$R$5,"SI","NO")</f>
        <v>NO</v>
      </c>
      <c r="I177">
        <f>D177-F177</f>
        <v>-127.4</v>
      </c>
    </row>
    <row r="178" spans="1:9" x14ac:dyDescent="0.25">
      <c r="A178" t="s">
        <v>26</v>
      </c>
      <c r="B178" t="s">
        <v>27</v>
      </c>
      <c r="C178" t="s">
        <v>37</v>
      </c>
      <c r="D178">
        <v>24</v>
      </c>
      <c r="E178">
        <v>20</v>
      </c>
      <c r="F178">
        <v>151.69999999999999</v>
      </c>
      <c r="G178">
        <f>ABS(D178-F178)</f>
        <v>127.69999999999999</v>
      </c>
      <c r="H178" t="str">
        <f>IF(G178&lt;=$R$5,"SI","NO")</f>
        <v>NO</v>
      </c>
      <c r="I178">
        <f>D178-F178</f>
        <v>-127.69999999999999</v>
      </c>
    </row>
    <row r="179" spans="1:9" x14ac:dyDescent="0.25">
      <c r="A179" t="s">
        <v>26</v>
      </c>
      <c r="B179" t="s">
        <v>27</v>
      </c>
      <c r="C179" t="s">
        <v>13</v>
      </c>
      <c r="D179">
        <v>7</v>
      </c>
      <c r="E179">
        <v>15</v>
      </c>
      <c r="F179">
        <v>135.30000000000001</v>
      </c>
      <c r="G179">
        <f>ABS(D179-F179)</f>
        <v>128.30000000000001</v>
      </c>
      <c r="H179" t="str">
        <f>IF(G179&lt;=$R$5,"SI","NO")</f>
        <v>NO</v>
      </c>
      <c r="I179">
        <f>D179-F179</f>
        <v>-128.30000000000001</v>
      </c>
    </row>
    <row r="180" spans="1:9" x14ac:dyDescent="0.25">
      <c r="A180" t="s">
        <v>6</v>
      </c>
      <c r="B180" t="s">
        <v>20</v>
      </c>
      <c r="C180" t="s">
        <v>11</v>
      </c>
      <c r="D180">
        <v>44</v>
      </c>
      <c r="E180">
        <v>15</v>
      </c>
      <c r="F180">
        <v>172.8</v>
      </c>
      <c r="G180">
        <f>ABS(D180-F180)</f>
        <v>128.80000000000001</v>
      </c>
      <c r="H180" t="str">
        <f>IF(G180&lt;=$R$5,"SI","NO")</f>
        <v>NO</v>
      </c>
      <c r="I180">
        <f>D180-F180</f>
        <v>-128.80000000000001</v>
      </c>
    </row>
    <row r="181" spans="1:9" x14ac:dyDescent="0.25">
      <c r="A181" t="s">
        <v>26</v>
      </c>
      <c r="B181" t="s">
        <v>27</v>
      </c>
      <c r="C181" t="s">
        <v>29</v>
      </c>
      <c r="D181">
        <v>22</v>
      </c>
      <c r="E181">
        <v>15</v>
      </c>
      <c r="F181">
        <v>151.69999999999999</v>
      </c>
      <c r="G181">
        <f>ABS(D181-F181)</f>
        <v>129.69999999999999</v>
      </c>
      <c r="H181" t="str">
        <f>IF(G181&lt;=$R$5,"SI","NO")</f>
        <v>NO</v>
      </c>
      <c r="I181">
        <f>D181-F181</f>
        <v>-129.69999999999999</v>
      </c>
    </row>
    <row r="182" spans="1:9" x14ac:dyDescent="0.25">
      <c r="A182" t="s">
        <v>46</v>
      </c>
      <c r="B182" t="s">
        <v>20</v>
      </c>
      <c r="C182" t="s">
        <v>18</v>
      </c>
      <c r="D182">
        <v>137</v>
      </c>
      <c r="E182">
        <v>15</v>
      </c>
      <c r="F182">
        <v>3.8</v>
      </c>
      <c r="G182">
        <f>ABS(D182-F182)</f>
        <v>133.19999999999999</v>
      </c>
      <c r="H182" t="str">
        <f>IF(G182&lt;=$R$5,"SI","NO")</f>
        <v>NO</v>
      </c>
      <c r="I182">
        <f>D182-F182</f>
        <v>133.19999999999999</v>
      </c>
    </row>
    <row r="183" spans="1:9" x14ac:dyDescent="0.25">
      <c r="A183" t="s">
        <v>6</v>
      </c>
      <c r="B183" t="s">
        <v>7</v>
      </c>
      <c r="C183" t="s">
        <v>9</v>
      </c>
      <c r="D183">
        <v>15</v>
      </c>
      <c r="E183">
        <v>15</v>
      </c>
      <c r="F183">
        <v>149.19999999999999</v>
      </c>
      <c r="G183">
        <f>ABS(D183-F183)</f>
        <v>134.19999999999999</v>
      </c>
      <c r="H183" t="str">
        <f>IF(G183&lt;=$R$5,"SI","NO")</f>
        <v>NO</v>
      </c>
      <c r="I183">
        <f>D183-F183</f>
        <v>-134.19999999999999</v>
      </c>
    </row>
    <row r="184" spans="1:9" x14ac:dyDescent="0.25">
      <c r="A184" t="s">
        <v>26</v>
      </c>
      <c r="B184" t="s">
        <v>27</v>
      </c>
      <c r="C184" t="s">
        <v>28</v>
      </c>
      <c r="D184">
        <v>143</v>
      </c>
      <c r="E184">
        <v>30</v>
      </c>
      <c r="F184">
        <v>8.8000000000000007</v>
      </c>
      <c r="G184">
        <f>ABS(D184-F184)</f>
        <v>134.19999999999999</v>
      </c>
      <c r="H184" t="str">
        <f>IF(G184&lt;=$R$5,"SI","NO")</f>
        <v>NO</v>
      </c>
      <c r="I184">
        <f>D184-F184</f>
        <v>134.19999999999999</v>
      </c>
    </row>
    <row r="185" spans="1:9" x14ac:dyDescent="0.25">
      <c r="A185" t="s">
        <v>42</v>
      </c>
      <c r="B185" t="s">
        <v>44</v>
      </c>
      <c r="C185" t="s">
        <v>11</v>
      </c>
      <c r="D185">
        <v>82</v>
      </c>
      <c r="E185">
        <v>15</v>
      </c>
      <c r="F185">
        <v>217.9</v>
      </c>
      <c r="G185">
        <f>ABS(D185-F185)</f>
        <v>135.9</v>
      </c>
      <c r="H185" t="str">
        <f>IF(G185&lt;=$R$5,"SI","NO")</f>
        <v>NO</v>
      </c>
      <c r="I185">
        <f>D185-F185</f>
        <v>-135.9</v>
      </c>
    </row>
    <row r="186" spans="1:9" x14ac:dyDescent="0.25">
      <c r="A186" t="s">
        <v>52</v>
      </c>
      <c r="B186" t="s">
        <v>20</v>
      </c>
      <c r="C186" t="s">
        <v>8</v>
      </c>
      <c r="D186">
        <v>18</v>
      </c>
      <c r="E186">
        <v>15</v>
      </c>
      <c r="F186">
        <v>155.5</v>
      </c>
      <c r="G186">
        <f>ABS(D186-F186)</f>
        <v>137.5</v>
      </c>
      <c r="H186" t="str">
        <f>IF(G186&lt;=$R$5,"SI","NO")</f>
        <v>NO</v>
      </c>
      <c r="I186">
        <f>D186-F186</f>
        <v>-137.5</v>
      </c>
    </row>
    <row r="187" spans="1:9" x14ac:dyDescent="0.25">
      <c r="A187" t="s">
        <v>46</v>
      </c>
      <c r="B187" t="s">
        <v>47</v>
      </c>
      <c r="C187" t="s">
        <v>14</v>
      </c>
      <c r="D187">
        <v>144</v>
      </c>
      <c r="E187">
        <v>15</v>
      </c>
      <c r="F187">
        <v>4.8000000000000007</v>
      </c>
      <c r="G187">
        <f>ABS(D187-F187)</f>
        <v>139.19999999999999</v>
      </c>
      <c r="H187" t="str">
        <f>IF(G187&lt;=$R$5,"SI","NO")</f>
        <v>NO</v>
      </c>
      <c r="I187">
        <f>D187-F187</f>
        <v>139.19999999999999</v>
      </c>
    </row>
    <row r="188" spans="1:9" x14ac:dyDescent="0.25">
      <c r="A188" t="s">
        <v>46</v>
      </c>
      <c r="B188" t="s">
        <v>47</v>
      </c>
      <c r="C188" t="s">
        <v>13</v>
      </c>
      <c r="D188">
        <v>145</v>
      </c>
      <c r="E188">
        <v>15</v>
      </c>
      <c r="F188">
        <v>5.4</v>
      </c>
      <c r="G188">
        <f>ABS(D188-F188)</f>
        <v>139.6</v>
      </c>
      <c r="H188" t="str">
        <f>IF(G188&lt;=$R$5,"SI","NO")</f>
        <v>NO</v>
      </c>
      <c r="I188">
        <f>D188-F188</f>
        <v>139.6</v>
      </c>
    </row>
    <row r="189" spans="1:9" x14ac:dyDescent="0.25">
      <c r="A189" t="s">
        <v>49</v>
      </c>
      <c r="B189" t="s">
        <v>47</v>
      </c>
      <c r="C189" t="s">
        <v>16</v>
      </c>
      <c r="D189">
        <v>271</v>
      </c>
      <c r="E189">
        <v>15</v>
      </c>
      <c r="F189">
        <v>130.80000000000001</v>
      </c>
      <c r="G189">
        <f>ABS(D189-F189)</f>
        <v>140.19999999999999</v>
      </c>
      <c r="H189" t="str">
        <f>IF(G189&lt;=$R$5,"SI","NO")</f>
        <v>NO</v>
      </c>
      <c r="I189">
        <f>D189-F189</f>
        <v>140.19999999999999</v>
      </c>
    </row>
    <row r="190" spans="1:9" x14ac:dyDescent="0.25">
      <c r="A190" t="s">
        <v>48</v>
      </c>
      <c r="B190" t="s">
        <v>47</v>
      </c>
      <c r="C190" t="s">
        <v>11</v>
      </c>
      <c r="D190">
        <v>120</v>
      </c>
      <c r="E190">
        <v>4</v>
      </c>
      <c r="F190">
        <v>269.8</v>
      </c>
      <c r="G190">
        <f>ABS(D190-F190)</f>
        <v>149.80000000000001</v>
      </c>
      <c r="H190" t="str">
        <f>IF(G190&lt;=$R$5,"SI","NO")</f>
        <v>NO</v>
      </c>
      <c r="I190">
        <f>D190-F190</f>
        <v>-149.80000000000001</v>
      </c>
    </row>
    <row r="191" spans="1:9" x14ac:dyDescent="0.25">
      <c r="A191" t="s">
        <v>46</v>
      </c>
      <c r="B191" t="s">
        <v>47</v>
      </c>
      <c r="C191" t="s">
        <v>11</v>
      </c>
      <c r="D191">
        <v>155</v>
      </c>
      <c r="E191">
        <v>15</v>
      </c>
      <c r="F191">
        <v>4.8000000000000007</v>
      </c>
      <c r="G191">
        <f>ABS(D191-F191)</f>
        <v>150.19999999999999</v>
      </c>
      <c r="H191" t="str">
        <f>IF(G191&lt;=$R$5,"SI","NO")</f>
        <v>NO</v>
      </c>
      <c r="I191">
        <f>D191-F191</f>
        <v>150.19999999999999</v>
      </c>
    </row>
    <row r="192" spans="1:9" x14ac:dyDescent="0.25">
      <c r="A192" t="s">
        <v>49</v>
      </c>
      <c r="B192" t="s">
        <v>47</v>
      </c>
      <c r="C192" t="s">
        <v>17</v>
      </c>
      <c r="D192">
        <v>285</v>
      </c>
      <c r="E192">
        <v>15</v>
      </c>
      <c r="F192">
        <v>130.80000000000001</v>
      </c>
      <c r="G192">
        <f>ABS(D192-F192)</f>
        <v>154.19999999999999</v>
      </c>
      <c r="H192" t="str">
        <f>IF(G192&lt;=$R$5,"SI","NO")</f>
        <v>NO</v>
      </c>
      <c r="I192">
        <f>D192-F192</f>
        <v>154.19999999999999</v>
      </c>
    </row>
    <row r="193" spans="1:9" x14ac:dyDescent="0.25">
      <c r="A193" t="s">
        <v>48</v>
      </c>
      <c r="B193" t="s">
        <v>20</v>
      </c>
      <c r="C193" t="s">
        <v>14</v>
      </c>
      <c r="D193">
        <v>89</v>
      </c>
      <c r="E193">
        <v>15</v>
      </c>
      <c r="F193">
        <v>243.4</v>
      </c>
      <c r="G193">
        <f>ABS(D193-F193)</f>
        <v>154.4</v>
      </c>
      <c r="H193" t="str">
        <f>IF(G193&lt;=$R$5,"SI","NO")</f>
        <v>NO</v>
      </c>
      <c r="I193">
        <f>D193-F193</f>
        <v>-154.4</v>
      </c>
    </row>
    <row r="194" spans="1:9" x14ac:dyDescent="0.25">
      <c r="A194" t="s">
        <v>46</v>
      </c>
      <c r="B194" t="s">
        <v>20</v>
      </c>
      <c r="C194" t="s">
        <v>23</v>
      </c>
      <c r="D194">
        <v>158</v>
      </c>
      <c r="E194">
        <v>15</v>
      </c>
      <c r="F194">
        <v>1.7</v>
      </c>
      <c r="G194">
        <f>ABS(D194-F194)</f>
        <v>156.30000000000001</v>
      </c>
      <c r="H194" t="str">
        <f>IF(G194&lt;=$R$5,"SI","NO")</f>
        <v>NO</v>
      </c>
      <c r="I194">
        <f>D194-F194</f>
        <v>156.30000000000001</v>
      </c>
    </row>
    <row r="195" spans="1:9" x14ac:dyDescent="0.25">
      <c r="A195" t="s">
        <v>42</v>
      </c>
      <c r="B195" t="s">
        <v>45</v>
      </c>
      <c r="C195" t="s">
        <v>12</v>
      </c>
      <c r="D195">
        <v>70</v>
      </c>
      <c r="E195">
        <v>15</v>
      </c>
      <c r="F195">
        <v>231.9</v>
      </c>
      <c r="G195">
        <f>ABS(D195-F195)</f>
        <v>161.9</v>
      </c>
      <c r="H195" t="str">
        <f>IF(G195&lt;=$R$5,"SI","NO")</f>
        <v>NO</v>
      </c>
      <c r="I195">
        <f>D195-F195</f>
        <v>-161.9</v>
      </c>
    </row>
    <row r="196" spans="1:9" x14ac:dyDescent="0.25">
      <c r="A196" t="s">
        <v>42</v>
      </c>
      <c r="B196" t="s">
        <v>44</v>
      </c>
      <c r="C196" t="s">
        <v>16</v>
      </c>
      <c r="D196">
        <v>183</v>
      </c>
      <c r="E196">
        <v>15</v>
      </c>
      <c r="F196">
        <v>11.8</v>
      </c>
      <c r="G196">
        <f>ABS(D196-F196)</f>
        <v>171.2</v>
      </c>
      <c r="H196" t="str">
        <f>IF(G196&lt;=$R$5,"SI","NO")</f>
        <v>NO</v>
      </c>
      <c r="I196">
        <f>D196-F196</f>
        <v>171.2</v>
      </c>
    </row>
    <row r="197" spans="1:9" x14ac:dyDescent="0.25">
      <c r="A197" t="s">
        <v>48</v>
      </c>
      <c r="B197" t="s">
        <v>20</v>
      </c>
      <c r="C197" t="s">
        <v>13</v>
      </c>
      <c r="D197">
        <v>69</v>
      </c>
      <c r="E197">
        <v>15</v>
      </c>
      <c r="F197">
        <v>243</v>
      </c>
      <c r="G197">
        <f>ABS(D197-F197)</f>
        <v>174</v>
      </c>
      <c r="H197" t="str">
        <f>IF(G197&lt;=$R$5,"SI","NO")</f>
        <v>NO</v>
      </c>
      <c r="I197">
        <f>D197-F197</f>
        <v>-174</v>
      </c>
    </row>
    <row r="198" spans="1:9" x14ac:dyDescent="0.25">
      <c r="A198" t="s">
        <v>48</v>
      </c>
      <c r="B198" t="s">
        <v>20</v>
      </c>
      <c r="C198" t="s">
        <v>23</v>
      </c>
      <c r="D198">
        <v>195</v>
      </c>
      <c r="E198">
        <v>15</v>
      </c>
      <c r="F198">
        <v>20.7</v>
      </c>
      <c r="G198">
        <f>ABS(D198-F198)</f>
        <v>174.3</v>
      </c>
      <c r="H198" t="str">
        <f>IF(G198&lt;=$R$5,"SI","NO")</f>
        <v>NO</v>
      </c>
      <c r="I198">
        <f>D198-F198</f>
        <v>174.3</v>
      </c>
    </row>
    <row r="199" spans="1:9" x14ac:dyDescent="0.25">
      <c r="A199" t="s">
        <v>49</v>
      </c>
      <c r="B199" t="s">
        <v>20</v>
      </c>
      <c r="C199" t="s">
        <v>14</v>
      </c>
      <c r="D199">
        <v>75</v>
      </c>
      <c r="E199">
        <v>15</v>
      </c>
      <c r="F199">
        <v>249.5</v>
      </c>
      <c r="G199">
        <f>ABS(D199-F199)</f>
        <v>174.5</v>
      </c>
      <c r="H199" t="str">
        <f>IF(G199&lt;=$R$5,"SI","NO")</f>
        <v>NO</v>
      </c>
      <c r="I199">
        <f>D199-F199</f>
        <v>-174.5</v>
      </c>
    </row>
    <row r="200" spans="1:9" x14ac:dyDescent="0.25">
      <c r="A200" t="s">
        <v>42</v>
      </c>
      <c r="B200" t="s">
        <v>44</v>
      </c>
      <c r="C200" t="s">
        <v>8</v>
      </c>
      <c r="D200">
        <v>37</v>
      </c>
      <c r="E200">
        <v>15</v>
      </c>
      <c r="F200">
        <v>217.9</v>
      </c>
      <c r="G200">
        <f>ABS(D200-F200)</f>
        <v>180.9</v>
      </c>
      <c r="H200" t="str">
        <f>IF(G200&lt;=$R$5,"SI","NO")</f>
        <v>NO</v>
      </c>
      <c r="I200">
        <f>D200-F200</f>
        <v>-180.9</v>
      </c>
    </row>
    <row r="201" spans="1:9" x14ac:dyDescent="0.25">
      <c r="A201" t="s">
        <v>48</v>
      </c>
      <c r="B201" t="s">
        <v>47</v>
      </c>
      <c r="C201" t="s">
        <v>8</v>
      </c>
      <c r="D201">
        <v>74</v>
      </c>
      <c r="E201">
        <v>15</v>
      </c>
      <c r="F201">
        <v>258.2</v>
      </c>
      <c r="G201">
        <f>ABS(D201-F201)</f>
        <v>184.2</v>
      </c>
      <c r="H201" t="str">
        <f>IF(G201&lt;=$R$5,"SI","NO")</f>
        <v>NO</v>
      </c>
      <c r="I201">
        <f>D201-F201</f>
        <v>-184.2</v>
      </c>
    </row>
    <row r="202" spans="1:9" x14ac:dyDescent="0.25">
      <c r="A202" t="s">
        <v>42</v>
      </c>
      <c r="B202" t="s">
        <v>44</v>
      </c>
      <c r="C202" t="s">
        <v>17</v>
      </c>
      <c r="D202">
        <v>198</v>
      </c>
      <c r="E202">
        <v>15</v>
      </c>
      <c r="F202">
        <v>12.1</v>
      </c>
      <c r="G202">
        <f>ABS(D202-F202)</f>
        <v>185.9</v>
      </c>
      <c r="H202" t="str">
        <f>IF(G202&lt;=$R$5,"SI","NO")</f>
        <v>NO</v>
      </c>
      <c r="I202">
        <f>D202-F202</f>
        <v>185.9</v>
      </c>
    </row>
    <row r="203" spans="1:9" x14ac:dyDescent="0.25">
      <c r="A203" t="s">
        <v>48</v>
      </c>
      <c r="B203" t="s">
        <v>20</v>
      </c>
      <c r="C203" t="s">
        <v>12</v>
      </c>
      <c r="D203">
        <v>57</v>
      </c>
      <c r="E203">
        <v>15</v>
      </c>
      <c r="F203">
        <v>243</v>
      </c>
      <c r="G203">
        <f>ABS(D203-F203)</f>
        <v>186</v>
      </c>
      <c r="H203" t="str">
        <f>IF(G203&lt;=$R$5,"SI","NO")</f>
        <v>NO</v>
      </c>
      <c r="I203">
        <f>D203-F203</f>
        <v>-186</v>
      </c>
    </row>
    <row r="204" spans="1:9" x14ac:dyDescent="0.25">
      <c r="A204" t="s">
        <v>48</v>
      </c>
      <c r="B204" t="s">
        <v>20</v>
      </c>
      <c r="C204" t="s">
        <v>11</v>
      </c>
      <c r="D204">
        <v>43</v>
      </c>
      <c r="E204">
        <v>15</v>
      </c>
      <c r="F204">
        <v>243.1</v>
      </c>
      <c r="G204">
        <f>ABS(D204-F204)</f>
        <v>200.1</v>
      </c>
      <c r="H204" t="str">
        <f>IF(G204&lt;=$R$5,"SI","NO")</f>
        <v>NO</v>
      </c>
      <c r="I204">
        <f>D204-F204</f>
        <v>-200.1</v>
      </c>
    </row>
    <row r="205" spans="1:9" x14ac:dyDescent="0.25">
      <c r="A205" t="s">
        <v>49</v>
      </c>
      <c r="B205" t="s">
        <v>20</v>
      </c>
      <c r="C205" t="s">
        <v>11</v>
      </c>
      <c r="D205">
        <v>29</v>
      </c>
      <c r="E205">
        <v>15</v>
      </c>
      <c r="F205">
        <v>240.3</v>
      </c>
      <c r="G205">
        <f>ABS(D205-F205)</f>
        <v>211.3</v>
      </c>
      <c r="H205" t="str">
        <f>IF(G205&lt;=$R$5,"SI","NO")</f>
        <v>NO</v>
      </c>
      <c r="I205">
        <f>D205-F205</f>
        <v>-211.3</v>
      </c>
    </row>
    <row r="206" spans="1:9" x14ac:dyDescent="0.25">
      <c r="A206" t="s">
        <v>42</v>
      </c>
      <c r="B206" t="s">
        <v>45</v>
      </c>
      <c r="C206" t="s">
        <v>8</v>
      </c>
      <c r="D206">
        <v>10</v>
      </c>
      <c r="E206">
        <v>15</v>
      </c>
      <c r="F206">
        <v>237.7</v>
      </c>
      <c r="G206">
        <f>ABS(D206-F206)</f>
        <v>227.7</v>
      </c>
      <c r="H206" t="str">
        <f>IF(G206&lt;=$R$5,"SI","NO")</f>
        <v>NO</v>
      </c>
      <c r="I206">
        <f>D206-F206</f>
        <v>-227.7</v>
      </c>
    </row>
    <row r="207" spans="1:9" x14ac:dyDescent="0.25">
      <c r="A207" t="s">
        <v>48</v>
      </c>
      <c r="B207" t="s">
        <v>20</v>
      </c>
      <c r="C207" t="s">
        <v>30</v>
      </c>
      <c r="D207">
        <v>-1</v>
      </c>
      <c r="E207">
        <v>15</v>
      </c>
      <c r="F207">
        <v>227.2</v>
      </c>
      <c r="G207">
        <f>ABS(D207-F207)</f>
        <v>228.2</v>
      </c>
      <c r="H207" t="str">
        <f>IF(G207&lt;=$R$5,"SI","NO")</f>
        <v>NO</v>
      </c>
      <c r="I207">
        <f>D207-F207</f>
        <v>-228.2</v>
      </c>
    </row>
    <row r="208" spans="1:9" x14ac:dyDescent="0.25">
      <c r="A208" t="s">
        <v>42</v>
      </c>
      <c r="B208" t="s">
        <v>45</v>
      </c>
      <c r="C208" t="s">
        <v>18</v>
      </c>
      <c r="D208">
        <v>-1</v>
      </c>
      <c r="E208">
        <v>15</v>
      </c>
      <c r="F208">
        <v>227.5</v>
      </c>
      <c r="G208">
        <f>ABS(D208-F208)</f>
        <v>228.5</v>
      </c>
      <c r="H208" t="str">
        <f>IF(G208&lt;=$R$5,"SI","NO")</f>
        <v>NO</v>
      </c>
      <c r="I208">
        <f>D208-F208</f>
        <v>-228.5</v>
      </c>
    </row>
    <row r="209" spans="1:9" x14ac:dyDescent="0.25">
      <c r="A209" t="s">
        <v>42</v>
      </c>
      <c r="B209" t="s">
        <v>43</v>
      </c>
      <c r="C209" t="s">
        <v>8</v>
      </c>
      <c r="D209">
        <v>9</v>
      </c>
      <c r="E209">
        <v>15</v>
      </c>
      <c r="F209">
        <v>237.7</v>
      </c>
      <c r="G209">
        <f>ABS(D209-F209)</f>
        <v>228.7</v>
      </c>
      <c r="H209" t="str">
        <f>IF(G209&lt;=$R$5,"SI","NO")</f>
        <v>NO</v>
      </c>
      <c r="I209">
        <f>D209-F209</f>
        <v>-228.7</v>
      </c>
    </row>
    <row r="210" spans="1:9" x14ac:dyDescent="0.25">
      <c r="A210" t="s">
        <v>42</v>
      </c>
      <c r="B210" t="s">
        <v>45</v>
      </c>
      <c r="C210" t="s">
        <v>19</v>
      </c>
      <c r="D210">
        <v>-1</v>
      </c>
      <c r="E210">
        <v>15</v>
      </c>
      <c r="F210">
        <v>237.7</v>
      </c>
      <c r="G210">
        <f>ABS(D210-F210)</f>
        <v>238.7</v>
      </c>
      <c r="H210" t="str">
        <f>IF(G210&lt;=$R$5,"SI","NO")</f>
        <v>NO</v>
      </c>
      <c r="I210">
        <f>D210-F210</f>
        <v>-238.7</v>
      </c>
    </row>
    <row r="211" spans="1:9" x14ac:dyDescent="0.25">
      <c r="A211" t="s">
        <v>49</v>
      </c>
      <c r="B211" t="s">
        <v>20</v>
      </c>
      <c r="C211" t="s">
        <v>10</v>
      </c>
      <c r="D211">
        <v>15</v>
      </c>
      <c r="E211">
        <v>15</v>
      </c>
      <c r="F211">
        <v>271</v>
      </c>
      <c r="G211">
        <f>ABS(D211-F211)</f>
        <v>256</v>
      </c>
      <c r="H211" t="str">
        <f>IF(G211&lt;=$R$5,"SI","NO")</f>
        <v>NO</v>
      </c>
      <c r="I211">
        <f>D211-F211</f>
        <v>-256</v>
      </c>
    </row>
    <row r="212" spans="1:9" x14ac:dyDescent="0.25">
      <c r="A212" t="s">
        <v>49</v>
      </c>
      <c r="B212" t="s">
        <v>20</v>
      </c>
      <c r="C212" t="s">
        <v>8</v>
      </c>
      <c r="D212">
        <v>0</v>
      </c>
      <c r="E212">
        <v>9</v>
      </c>
      <c r="F212">
        <v>269.8</v>
      </c>
      <c r="G212">
        <f>ABS(D212-F212)</f>
        <v>269.8</v>
      </c>
      <c r="H212" t="str">
        <f>IF(G212&lt;=$R$5,"SI","NO")</f>
        <v>NO</v>
      </c>
      <c r="I212">
        <f>D212-F212</f>
        <v>-269.8</v>
      </c>
    </row>
    <row r="213" spans="1:9" x14ac:dyDescent="0.25">
      <c r="A213" t="s">
        <v>49</v>
      </c>
      <c r="B213" t="s">
        <v>20</v>
      </c>
      <c r="C213" t="s">
        <v>9</v>
      </c>
      <c r="D213">
        <v>0</v>
      </c>
      <c r="E213">
        <v>15</v>
      </c>
      <c r="F213">
        <v>271</v>
      </c>
      <c r="G213">
        <f>ABS(D213-F213)</f>
        <v>271</v>
      </c>
      <c r="H213" t="str">
        <f>IF(G213&lt;=$R$5,"SI","NO")</f>
        <v>NO</v>
      </c>
      <c r="I213">
        <f>D213-F213</f>
        <v>-271</v>
      </c>
    </row>
  </sheetData>
  <autoFilter ref="G1:G213" xr:uid="{00000000-0001-0000-0000-000000000000}">
    <sortState xmlns:xlrd2="http://schemas.microsoft.com/office/spreadsheetml/2017/richdata2" ref="A2:I213">
      <sortCondition ref="G1:G21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Benjamín Villalobos Campos (jose.villalobos.c)</cp:lastModifiedBy>
  <dcterms:created xsi:type="dcterms:W3CDTF">2025-07-15T05:51:25Z</dcterms:created>
  <dcterms:modified xsi:type="dcterms:W3CDTF">2025-07-17T03:17:15Z</dcterms:modified>
</cp:coreProperties>
</file>