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P\OneDrive\Documentos\AD\U\2025-A\IA\Syntrack\"/>
    </mc:Choice>
  </mc:AlternateContent>
  <xr:revisionPtr revIDLastSave="0" documentId="13_ncr:1_{D0AE2142-A95A-4B4B-9694-F41C5ADA36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" i="1"/>
  <c r="I3" i="1" l="1"/>
</calcChain>
</file>

<file path=xl/sharedStrings.xml><?xml version="1.0" encoding="utf-8"?>
<sst xmlns="http://schemas.openxmlformats.org/spreadsheetml/2006/main" count="642" uniqueCount="53">
  <si>
    <t>audio_base</t>
  </si>
  <si>
    <t>carpeta</t>
  </si>
  <si>
    <t>archivo_clip</t>
  </si>
  <si>
    <t>segundo_inicio</t>
  </si>
  <si>
    <t>duracion_clip</t>
  </si>
  <si>
    <t>segundo_predecido</t>
  </si>
  <si>
    <t>bzrp_session_milo_j_bizarrap.mp3</t>
  </si>
  <si>
    <t>clips_david</t>
  </si>
  <si>
    <t>clip01</t>
  </si>
  <si>
    <t>clip02</t>
  </si>
  <si>
    <t>clip03</t>
  </si>
  <si>
    <t>clip04</t>
  </si>
  <si>
    <t>clip05</t>
  </si>
  <si>
    <t>clip06</t>
  </si>
  <si>
    <t>clip07</t>
  </si>
  <si>
    <t>clip08</t>
  </si>
  <si>
    <t>clip09</t>
  </si>
  <si>
    <t>clip10</t>
  </si>
  <si>
    <t>clip11</t>
  </si>
  <si>
    <t>clip12</t>
  </si>
  <si>
    <t>clips_youtube</t>
  </si>
  <si>
    <t>fruto_milo_j_bizarrap.mp3</t>
  </si>
  <si>
    <t>clip13</t>
  </si>
  <si>
    <t>clip14</t>
  </si>
  <si>
    <t>clip15</t>
  </si>
  <si>
    <t>clip16</t>
  </si>
  <si>
    <t>me_porto_bonito_bad_bunny.mp3</t>
  </si>
  <si>
    <t>clips_monse</t>
  </si>
  <si>
    <t>clip17</t>
  </si>
  <si>
    <t>clip18</t>
  </si>
  <si>
    <t>clip19</t>
  </si>
  <si>
    <t>clip20</t>
  </si>
  <si>
    <t>clip21</t>
  </si>
  <si>
    <t>clip22</t>
  </si>
  <si>
    <t>clip23</t>
  </si>
  <si>
    <t>clip24</t>
  </si>
  <si>
    <t>clip25</t>
  </si>
  <si>
    <t>clip26</t>
  </si>
  <si>
    <t>clip27</t>
  </si>
  <si>
    <t>clip28</t>
  </si>
  <si>
    <t>clip29</t>
  </si>
  <si>
    <t>clip30</t>
  </si>
  <si>
    <t>pastel_con_nutella_ysy_a.mp3</t>
  </si>
  <si>
    <t>clips_tiktok</t>
  </si>
  <si>
    <t>clips_camera</t>
  </si>
  <si>
    <t>clips_city_session</t>
  </si>
  <si>
    <t>enemy_imagine_dragons.mp3</t>
  </si>
  <si>
    <t>clips_chuncho</t>
  </si>
  <si>
    <t>yellow_coldplay.mp3</t>
  </si>
  <si>
    <t>clocks_coldplay.mp3</t>
  </si>
  <si>
    <t>chopsuey_system_of_a_down.mp3</t>
  </si>
  <si>
    <t>clips_nico</t>
  </si>
  <si>
    <t>tu_me_dejaste_de_querer_c_tangana.mp3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</si>
</sst>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3"/>
  <sheetViews>
    <sheetView tabSelected="1" workbookViewId="0">
      <selection activeCell="H2" sqref="H2:H213"/>
    </sheetView>
  </sheetViews>
  <sheetFormatPr baseColWidth="10" defaultColWidth="9.140625" defaultRowHeight="15" x14ac:dyDescent="0.25"/>
  <cols>
    <col min="9" max="9" width="11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25">
      <c r="A2" t="s">
        <v>6</v>
      </c>
      <c r="B2" t="s">
        <v>7</v>
      </c>
      <c r="C2" t="s">
        <v>8</v>
      </c>
      <c r="D2">
        <v>0</v>
      </c>
      <c r="E2">
        <v>15</v>
      </c>
      <c r="F2">
        <v>14.3</v>
      </c>
      <c r="G2">
        <f>ABS(D2-F2)</f>
        <v>14.3</v>
      </c>
      <c r="H2" t="str">
        <f>IF(G2&lt;=15,"SI","NO")</f>
        <v>SI</v>
      </c>
      <c r="I2">
        <f>COUNTIF(H2:H213,"NO")</f>
        <v>172</v>
      </c>
    </row>
    <row r="3" spans="1:9" x14ac:dyDescent="0.25">
      <c r="A3" t="s">
        <v>6</v>
      </c>
      <c r="B3" t="s">
        <v>7</v>
      </c>
      <c r="C3" t="s">
        <v>9</v>
      </c>
      <c r="D3">
        <v>15</v>
      </c>
      <c r="E3">
        <v>15</v>
      </c>
      <c r="F3">
        <v>149.19999999999999</v>
      </c>
      <c r="G3">
        <f t="shared" ref="G3:G66" si="0">ABS(D3-F3)</f>
        <v>134.19999999999999</v>
      </c>
      <c r="H3" t="str">
        <f t="shared" ref="H3:H66" si="1">IF(G3&lt;=15,"SI","NO")</f>
        <v>NO</v>
      </c>
      <c r="I3">
        <f>COUNTIF(H2:H213,"SI")</f>
        <v>40</v>
      </c>
    </row>
    <row r="4" spans="1:9" x14ac:dyDescent="0.25">
      <c r="A4" t="s">
        <v>6</v>
      </c>
      <c r="B4" t="s">
        <v>7</v>
      </c>
      <c r="C4" t="s">
        <v>10</v>
      </c>
      <c r="D4">
        <v>30</v>
      </c>
      <c r="E4">
        <v>15</v>
      </c>
      <c r="F4">
        <v>149.19999999999999</v>
      </c>
      <c r="G4">
        <f t="shared" si="0"/>
        <v>119.19999999999999</v>
      </c>
      <c r="H4" t="str">
        <f t="shared" si="1"/>
        <v>NO</v>
      </c>
    </row>
    <row r="5" spans="1:9" x14ac:dyDescent="0.25">
      <c r="A5" t="s">
        <v>6</v>
      </c>
      <c r="B5" t="s">
        <v>7</v>
      </c>
      <c r="C5" t="s">
        <v>11</v>
      </c>
      <c r="D5">
        <v>45</v>
      </c>
      <c r="E5">
        <v>15</v>
      </c>
      <c r="F5">
        <v>149.19999999999999</v>
      </c>
      <c r="G5">
        <f t="shared" si="0"/>
        <v>104.19999999999999</v>
      </c>
      <c r="H5" t="str">
        <f t="shared" si="1"/>
        <v>NO</v>
      </c>
    </row>
    <row r="6" spans="1:9" x14ac:dyDescent="0.25">
      <c r="A6" t="s">
        <v>6</v>
      </c>
      <c r="B6" t="s">
        <v>7</v>
      </c>
      <c r="C6" t="s">
        <v>12</v>
      </c>
      <c r="D6">
        <v>60</v>
      </c>
      <c r="E6">
        <v>15</v>
      </c>
      <c r="F6">
        <v>149.19999999999999</v>
      </c>
      <c r="G6">
        <f t="shared" si="0"/>
        <v>89.199999999999989</v>
      </c>
      <c r="H6" t="str">
        <f t="shared" si="1"/>
        <v>NO</v>
      </c>
    </row>
    <row r="7" spans="1:9" x14ac:dyDescent="0.25">
      <c r="A7" t="s">
        <v>6</v>
      </c>
      <c r="B7" t="s">
        <v>7</v>
      </c>
      <c r="C7" t="s">
        <v>13</v>
      </c>
      <c r="D7">
        <v>75</v>
      </c>
      <c r="E7">
        <v>15</v>
      </c>
      <c r="F7">
        <v>149.19999999999999</v>
      </c>
      <c r="G7">
        <f t="shared" si="0"/>
        <v>74.199999999999989</v>
      </c>
      <c r="H7" t="str">
        <f t="shared" si="1"/>
        <v>NO</v>
      </c>
    </row>
    <row r="8" spans="1:9" x14ac:dyDescent="0.25">
      <c r="A8" t="s">
        <v>6</v>
      </c>
      <c r="B8" t="s">
        <v>7</v>
      </c>
      <c r="C8" t="s">
        <v>14</v>
      </c>
      <c r="D8">
        <v>90</v>
      </c>
      <c r="E8">
        <v>15</v>
      </c>
      <c r="F8">
        <v>149.19999999999999</v>
      </c>
      <c r="G8">
        <f t="shared" si="0"/>
        <v>59.199999999999989</v>
      </c>
      <c r="H8" t="str">
        <f t="shared" si="1"/>
        <v>NO</v>
      </c>
    </row>
    <row r="9" spans="1:9" x14ac:dyDescent="0.25">
      <c r="A9" t="s">
        <v>6</v>
      </c>
      <c r="B9" t="s">
        <v>7</v>
      </c>
      <c r="C9" t="s">
        <v>15</v>
      </c>
      <c r="D9">
        <v>105</v>
      </c>
      <c r="E9">
        <v>15</v>
      </c>
      <c r="F9">
        <v>100</v>
      </c>
      <c r="G9">
        <f t="shared" si="0"/>
        <v>5</v>
      </c>
      <c r="H9" t="str">
        <f t="shared" si="1"/>
        <v>SI</v>
      </c>
    </row>
    <row r="10" spans="1:9" x14ac:dyDescent="0.25">
      <c r="A10" t="s">
        <v>6</v>
      </c>
      <c r="B10" t="s">
        <v>7</v>
      </c>
      <c r="C10" t="s">
        <v>16</v>
      </c>
      <c r="D10">
        <v>120</v>
      </c>
      <c r="E10">
        <v>15</v>
      </c>
      <c r="F10">
        <v>125</v>
      </c>
      <c r="G10">
        <f t="shared" si="0"/>
        <v>5</v>
      </c>
      <c r="H10" t="str">
        <f t="shared" si="1"/>
        <v>SI</v>
      </c>
    </row>
    <row r="11" spans="1:9" x14ac:dyDescent="0.25">
      <c r="A11" t="s">
        <v>6</v>
      </c>
      <c r="B11" t="s">
        <v>7</v>
      </c>
      <c r="C11" t="s">
        <v>17</v>
      </c>
      <c r="D11">
        <v>135</v>
      </c>
      <c r="E11">
        <v>15</v>
      </c>
      <c r="F11">
        <v>14.3</v>
      </c>
      <c r="G11">
        <f t="shared" si="0"/>
        <v>120.7</v>
      </c>
      <c r="H11" t="str">
        <f t="shared" si="1"/>
        <v>NO</v>
      </c>
    </row>
    <row r="12" spans="1:9" x14ac:dyDescent="0.25">
      <c r="A12" t="s">
        <v>6</v>
      </c>
      <c r="B12" t="s">
        <v>7</v>
      </c>
      <c r="C12" t="s">
        <v>18</v>
      </c>
      <c r="D12">
        <v>150</v>
      </c>
      <c r="E12">
        <v>15</v>
      </c>
      <c r="F12">
        <v>149</v>
      </c>
      <c r="G12">
        <f t="shared" si="0"/>
        <v>1</v>
      </c>
      <c r="H12" t="str">
        <f t="shared" si="1"/>
        <v>SI</v>
      </c>
    </row>
    <row r="13" spans="1:9" x14ac:dyDescent="0.25">
      <c r="A13" t="s">
        <v>6</v>
      </c>
      <c r="B13" t="s">
        <v>7</v>
      </c>
      <c r="C13" t="s">
        <v>19</v>
      </c>
      <c r="D13">
        <v>165</v>
      </c>
      <c r="E13">
        <v>15</v>
      </c>
      <c r="F13">
        <v>60.3</v>
      </c>
      <c r="G13">
        <f t="shared" si="0"/>
        <v>104.7</v>
      </c>
      <c r="H13" t="str">
        <f t="shared" si="1"/>
        <v>NO</v>
      </c>
    </row>
    <row r="14" spans="1:9" x14ac:dyDescent="0.25">
      <c r="A14" t="s">
        <v>6</v>
      </c>
      <c r="B14" t="s">
        <v>20</v>
      </c>
      <c r="C14" t="s">
        <v>8</v>
      </c>
      <c r="D14">
        <v>3</v>
      </c>
      <c r="E14">
        <v>15</v>
      </c>
      <c r="F14">
        <v>14.3</v>
      </c>
      <c r="G14">
        <f t="shared" si="0"/>
        <v>11.3</v>
      </c>
      <c r="H14" t="str">
        <f t="shared" si="1"/>
        <v>SI</v>
      </c>
    </row>
    <row r="15" spans="1:9" x14ac:dyDescent="0.25">
      <c r="A15" t="s">
        <v>6</v>
      </c>
      <c r="B15" t="s">
        <v>20</v>
      </c>
      <c r="C15" t="s">
        <v>9</v>
      </c>
      <c r="D15">
        <v>18</v>
      </c>
      <c r="E15">
        <v>15</v>
      </c>
      <c r="F15">
        <v>34.4</v>
      </c>
      <c r="G15">
        <f t="shared" si="0"/>
        <v>16.399999999999999</v>
      </c>
      <c r="H15" t="str">
        <f t="shared" si="1"/>
        <v>NO</v>
      </c>
    </row>
    <row r="16" spans="1:9" x14ac:dyDescent="0.25">
      <c r="A16" t="s">
        <v>6</v>
      </c>
      <c r="B16" t="s">
        <v>20</v>
      </c>
      <c r="C16" t="s">
        <v>10</v>
      </c>
      <c r="D16">
        <v>28</v>
      </c>
      <c r="E16">
        <v>15</v>
      </c>
      <c r="F16">
        <v>60.3</v>
      </c>
      <c r="G16">
        <f t="shared" si="0"/>
        <v>32.299999999999997</v>
      </c>
      <c r="H16" t="str">
        <f t="shared" si="1"/>
        <v>NO</v>
      </c>
    </row>
    <row r="17" spans="1:8" x14ac:dyDescent="0.25">
      <c r="A17" t="s">
        <v>6</v>
      </c>
      <c r="B17" t="s">
        <v>20</v>
      </c>
      <c r="C17" t="s">
        <v>11</v>
      </c>
      <c r="D17">
        <v>44</v>
      </c>
      <c r="E17">
        <v>15</v>
      </c>
      <c r="F17">
        <v>172.8</v>
      </c>
      <c r="G17">
        <f t="shared" si="0"/>
        <v>128.80000000000001</v>
      </c>
      <c r="H17" t="str">
        <f t="shared" si="1"/>
        <v>NO</v>
      </c>
    </row>
    <row r="18" spans="1:8" x14ac:dyDescent="0.25">
      <c r="A18" t="s">
        <v>6</v>
      </c>
      <c r="B18" t="s">
        <v>20</v>
      </c>
      <c r="C18" t="s">
        <v>12</v>
      </c>
      <c r="D18">
        <v>58</v>
      </c>
      <c r="E18">
        <v>15</v>
      </c>
      <c r="F18">
        <v>125.8</v>
      </c>
      <c r="G18">
        <f t="shared" si="0"/>
        <v>67.8</v>
      </c>
      <c r="H18" t="str">
        <f t="shared" si="1"/>
        <v>NO</v>
      </c>
    </row>
    <row r="19" spans="1:8" x14ac:dyDescent="0.25">
      <c r="A19" t="s">
        <v>6</v>
      </c>
      <c r="B19" t="s">
        <v>20</v>
      </c>
      <c r="C19" t="s">
        <v>13</v>
      </c>
      <c r="D19">
        <v>74</v>
      </c>
      <c r="E19">
        <v>15</v>
      </c>
      <c r="F19">
        <v>172.8</v>
      </c>
      <c r="G19">
        <f t="shared" si="0"/>
        <v>98.800000000000011</v>
      </c>
      <c r="H19" t="str">
        <f t="shared" si="1"/>
        <v>NO</v>
      </c>
    </row>
    <row r="20" spans="1:8" x14ac:dyDescent="0.25">
      <c r="A20" t="s">
        <v>6</v>
      </c>
      <c r="B20" t="s">
        <v>20</v>
      </c>
      <c r="C20" t="s">
        <v>14</v>
      </c>
      <c r="D20">
        <v>89</v>
      </c>
      <c r="E20">
        <v>15</v>
      </c>
      <c r="F20">
        <v>100</v>
      </c>
      <c r="G20">
        <f t="shared" si="0"/>
        <v>11</v>
      </c>
      <c r="H20" t="str">
        <f t="shared" si="1"/>
        <v>SI</v>
      </c>
    </row>
    <row r="21" spans="1:8" x14ac:dyDescent="0.25">
      <c r="A21" t="s">
        <v>6</v>
      </c>
      <c r="B21" t="s">
        <v>20</v>
      </c>
      <c r="C21" t="s">
        <v>15</v>
      </c>
      <c r="D21">
        <v>103</v>
      </c>
      <c r="E21">
        <v>15</v>
      </c>
      <c r="F21">
        <v>117.6</v>
      </c>
      <c r="G21">
        <f t="shared" si="0"/>
        <v>14.599999999999994</v>
      </c>
      <c r="H21" t="str">
        <f t="shared" si="1"/>
        <v>SI</v>
      </c>
    </row>
    <row r="22" spans="1:8" x14ac:dyDescent="0.25">
      <c r="A22" t="s">
        <v>6</v>
      </c>
      <c r="B22" t="s">
        <v>20</v>
      </c>
      <c r="C22" t="s">
        <v>16</v>
      </c>
      <c r="D22">
        <v>118</v>
      </c>
      <c r="E22">
        <v>15</v>
      </c>
      <c r="F22">
        <v>0.2</v>
      </c>
      <c r="G22">
        <f t="shared" si="0"/>
        <v>117.8</v>
      </c>
      <c r="H22" t="str">
        <f t="shared" si="1"/>
        <v>NO</v>
      </c>
    </row>
    <row r="23" spans="1:8" x14ac:dyDescent="0.25">
      <c r="A23" t="s">
        <v>6</v>
      </c>
      <c r="B23" t="s">
        <v>20</v>
      </c>
      <c r="C23" t="s">
        <v>17</v>
      </c>
      <c r="D23">
        <v>134</v>
      </c>
      <c r="E23">
        <v>15</v>
      </c>
      <c r="F23">
        <v>60.3</v>
      </c>
      <c r="G23">
        <f t="shared" si="0"/>
        <v>73.7</v>
      </c>
      <c r="H23" t="str">
        <f t="shared" si="1"/>
        <v>NO</v>
      </c>
    </row>
    <row r="24" spans="1:8" x14ac:dyDescent="0.25">
      <c r="A24" t="s">
        <v>6</v>
      </c>
      <c r="B24" t="s">
        <v>20</v>
      </c>
      <c r="C24" t="s">
        <v>18</v>
      </c>
      <c r="D24">
        <v>147</v>
      </c>
      <c r="E24">
        <v>15</v>
      </c>
      <c r="F24">
        <v>60.3</v>
      </c>
      <c r="G24">
        <f t="shared" si="0"/>
        <v>86.7</v>
      </c>
      <c r="H24" t="str">
        <f t="shared" si="1"/>
        <v>NO</v>
      </c>
    </row>
    <row r="25" spans="1:8" x14ac:dyDescent="0.25">
      <c r="A25" t="s">
        <v>6</v>
      </c>
      <c r="B25" t="s">
        <v>20</v>
      </c>
      <c r="C25" t="s">
        <v>19</v>
      </c>
      <c r="D25">
        <v>163</v>
      </c>
      <c r="E25">
        <v>15</v>
      </c>
      <c r="F25">
        <v>60.3</v>
      </c>
      <c r="G25">
        <f t="shared" si="0"/>
        <v>102.7</v>
      </c>
      <c r="H25" t="str">
        <f t="shared" si="1"/>
        <v>NO</v>
      </c>
    </row>
    <row r="26" spans="1:8" x14ac:dyDescent="0.25">
      <c r="A26" t="s">
        <v>21</v>
      </c>
      <c r="B26" t="s">
        <v>7</v>
      </c>
      <c r="C26" t="s">
        <v>8</v>
      </c>
      <c r="D26">
        <v>8</v>
      </c>
      <c r="E26">
        <v>15</v>
      </c>
      <c r="F26">
        <v>5.4</v>
      </c>
      <c r="G26">
        <f t="shared" si="0"/>
        <v>2.5999999999999996</v>
      </c>
      <c r="H26" t="str">
        <f t="shared" si="1"/>
        <v>SI</v>
      </c>
    </row>
    <row r="27" spans="1:8" x14ac:dyDescent="0.25">
      <c r="A27" t="s">
        <v>21</v>
      </c>
      <c r="B27" t="s">
        <v>7</v>
      </c>
      <c r="C27" t="s">
        <v>9</v>
      </c>
      <c r="D27">
        <v>24</v>
      </c>
      <c r="E27">
        <v>15</v>
      </c>
      <c r="F27">
        <v>5.4</v>
      </c>
      <c r="G27">
        <f t="shared" si="0"/>
        <v>18.600000000000001</v>
      </c>
      <c r="H27" t="str">
        <f t="shared" si="1"/>
        <v>NO</v>
      </c>
    </row>
    <row r="28" spans="1:8" x14ac:dyDescent="0.25">
      <c r="A28" t="s">
        <v>21</v>
      </c>
      <c r="B28" t="s">
        <v>7</v>
      </c>
      <c r="C28" t="s">
        <v>10</v>
      </c>
      <c r="D28">
        <v>39</v>
      </c>
      <c r="E28">
        <v>15</v>
      </c>
      <c r="F28">
        <v>5.4</v>
      </c>
      <c r="G28">
        <f t="shared" si="0"/>
        <v>33.6</v>
      </c>
      <c r="H28" t="str">
        <f t="shared" si="1"/>
        <v>NO</v>
      </c>
    </row>
    <row r="29" spans="1:8" x14ac:dyDescent="0.25">
      <c r="A29" t="s">
        <v>21</v>
      </c>
      <c r="B29" t="s">
        <v>7</v>
      </c>
      <c r="C29" t="s">
        <v>11</v>
      </c>
      <c r="D29">
        <v>54</v>
      </c>
      <c r="E29">
        <v>15</v>
      </c>
      <c r="F29">
        <v>5.4</v>
      </c>
      <c r="G29">
        <f t="shared" si="0"/>
        <v>48.6</v>
      </c>
      <c r="H29" t="str">
        <f t="shared" si="1"/>
        <v>NO</v>
      </c>
    </row>
    <row r="30" spans="1:8" x14ac:dyDescent="0.25">
      <c r="A30" t="s">
        <v>21</v>
      </c>
      <c r="B30" t="s">
        <v>7</v>
      </c>
      <c r="C30" t="s">
        <v>12</v>
      </c>
      <c r="D30">
        <v>69</v>
      </c>
      <c r="E30">
        <v>15</v>
      </c>
      <c r="F30">
        <v>5.4</v>
      </c>
      <c r="G30">
        <f t="shared" si="0"/>
        <v>63.6</v>
      </c>
      <c r="H30" t="str">
        <f t="shared" si="1"/>
        <v>NO</v>
      </c>
    </row>
    <row r="31" spans="1:8" x14ac:dyDescent="0.25">
      <c r="A31" t="s">
        <v>21</v>
      </c>
      <c r="B31" t="s">
        <v>7</v>
      </c>
      <c r="C31" t="s">
        <v>13</v>
      </c>
      <c r="D31">
        <v>84</v>
      </c>
      <c r="E31">
        <v>15</v>
      </c>
      <c r="F31">
        <v>5.4</v>
      </c>
      <c r="G31">
        <f t="shared" si="0"/>
        <v>78.599999999999994</v>
      </c>
      <c r="H31" t="str">
        <f t="shared" si="1"/>
        <v>NO</v>
      </c>
    </row>
    <row r="32" spans="1:8" x14ac:dyDescent="0.25">
      <c r="A32" t="s">
        <v>21</v>
      </c>
      <c r="B32" t="s">
        <v>7</v>
      </c>
      <c r="C32" t="s">
        <v>14</v>
      </c>
      <c r="D32">
        <v>84</v>
      </c>
      <c r="E32">
        <v>15</v>
      </c>
      <c r="F32">
        <v>5.4</v>
      </c>
      <c r="G32">
        <f t="shared" si="0"/>
        <v>78.599999999999994</v>
      </c>
      <c r="H32" t="str">
        <f t="shared" si="1"/>
        <v>NO</v>
      </c>
    </row>
    <row r="33" spans="1:8" x14ac:dyDescent="0.25">
      <c r="A33" t="s">
        <v>21</v>
      </c>
      <c r="B33" t="s">
        <v>7</v>
      </c>
      <c r="C33" t="s">
        <v>15</v>
      </c>
      <c r="D33">
        <v>100</v>
      </c>
      <c r="E33">
        <v>15</v>
      </c>
      <c r="F33">
        <v>5.4</v>
      </c>
      <c r="G33">
        <f t="shared" si="0"/>
        <v>94.6</v>
      </c>
      <c r="H33" t="str">
        <f t="shared" si="1"/>
        <v>NO</v>
      </c>
    </row>
    <row r="34" spans="1:8" x14ac:dyDescent="0.25">
      <c r="A34" t="s">
        <v>21</v>
      </c>
      <c r="B34" t="s">
        <v>7</v>
      </c>
      <c r="C34" t="s">
        <v>16</v>
      </c>
      <c r="D34">
        <v>109</v>
      </c>
      <c r="E34">
        <v>15</v>
      </c>
      <c r="F34">
        <v>4.1000000000000014</v>
      </c>
      <c r="G34">
        <f t="shared" si="0"/>
        <v>104.9</v>
      </c>
      <c r="H34" t="str">
        <f t="shared" si="1"/>
        <v>NO</v>
      </c>
    </row>
    <row r="35" spans="1:8" x14ac:dyDescent="0.25">
      <c r="A35" t="s">
        <v>21</v>
      </c>
      <c r="B35" t="s">
        <v>7</v>
      </c>
      <c r="C35" t="s">
        <v>17</v>
      </c>
      <c r="D35">
        <v>-1</v>
      </c>
      <c r="E35">
        <v>15</v>
      </c>
      <c r="F35">
        <v>5.4</v>
      </c>
      <c r="G35">
        <f t="shared" si="0"/>
        <v>6.4</v>
      </c>
      <c r="H35" t="str">
        <f t="shared" si="1"/>
        <v>SI</v>
      </c>
    </row>
    <row r="36" spans="1:8" x14ac:dyDescent="0.25">
      <c r="A36" t="s">
        <v>21</v>
      </c>
      <c r="B36" t="s">
        <v>20</v>
      </c>
      <c r="C36" t="s">
        <v>8</v>
      </c>
      <c r="D36">
        <v>-1</v>
      </c>
      <c r="E36">
        <v>15</v>
      </c>
      <c r="F36">
        <v>10.4</v>
      </c>
      <c r="G36">
        <f t="shared" si="0"/>
        <v>11.4</v>
      </c>
      <c r="H36" t="str">
        <f t="shared" si="1"/>
        <v>SI</v>
      </c>
    </row>
    <row r="37" spans="1:8" x14ac:dyDescent="0.25">
      <c r="A37" t="s">
        <v>21</v>
      </c>
      <c r="B37" t="s">
        <v>20</v>
      </c>
      <c r="C37" t="s">
        <v>9</v>
      </c>
      <c r="D37">
        <v>-1</v>
      </c>
      <c r="E37">
        <v>15</v>
      </c>
      <c r="F37">
        <v>10.4</v>
      </c>
      <c r="G37">
        <f t="shared" si="0"/>
        <v>11.4</v>
      </c>
      <c r="H37" t="str">
        <f t="shared" si="1"/>
        <v>SI</v>
      </c>
    </row>
    <row r="38" spans="1:8" x14ac:dyDescent="0.25">
      <c r="A38" t="s">
        <v>21</v>
      </c>
      <c r="B38" t="s">
        <v>20</v>
      </c>
      <c r="C38" t="s">
        <v>10</v>
      </c>
      <c r="D38">
        <v>-1</v>
      </c>
      <c r="E38">
        <v>15</v>
      </c>
      <c r="F38">
        <v>114.2</v>
      </c>
      <c r="G38">
        <f t="shared" si="0"/>
        <v>115.2</v>
      </c>
      <c r="H38" t="str">
        <f t="shared" si="1"/>
        <v>NO</v>
      </c>
    </row>
    <row r="39" spans="1:8" x14ac:dyDescent="0.25">
      <c r="A39" t="s">
        <v>21</v>
      </c>
      <c r="B39" t="s">
        <v>20</v>
      </c>
      <c r="C39" t="s">
        <v>11</v>
      </c>
      <c r="D39">
        <v>-1</v>
      </c>
      <c r="E39">
        <v>15</v>
      </c>
      <c r="F39">
        <v>113.5</v>
      </c>
      <c r="G39">
        <f t="shared" si="0"/>
        <v>114.5</v>
      </c>
      <c r="H39" t="str">
        <f t="shared" si="1"/>
        <v>NO</v>
      </c>
    </row>
    <row r="40" spans="1:8" x14ac:dyDescent="0.25">
      <c r="A40" t="s">
        <v>21</v>
      </c>
      <c r="B40" t="s">
        <v>20</v>
      </c>
      <c r="C40" t="s">
        <v>12</v>
      </c>
      <c r="D40">
        <v>-1</v>
      </c>
      <c r="E40">
        <v>15</v>
      </c>
      <c r="F40">
        <v>1.2</v>
      </c>
      <c r="G40">
        <f t="shared" si="0"/>
        <v>2.2000000000000002</v>
      </c>
      <c r="H40" t="str">
        <f t="shared" si="1"/>
        <v>SI</v>
      </c>
    </row>
    <row r="41" spans="1:8" x14ac:dyDescent="0.25">
      <c r="A41" t="s">
        <v>21</v>
      </c>
      <c r="B41" t="s">
        <v>20</v>
      </c>
      <c r="C41" t="s">
        <v>13</v>
      </c>
      <c r="D41">
        <v>0</v>
      </c>
      <c r="E41">
        <v>15</v>
      </c>
      <c r="F41">
        <v>5.4</v>
      </c>
      <c r="G41">
        <f t="shared" si="0"/>
        <v>5.4</v>
      </c>
      <c r="H41" t="str">
        <f t="shared" si="1"/>
        <v>SI</v>
      </c>
    </row>
    <row r="42" spans="1:8" x14ac:dyDescent="0.25">
      <c r="A42" t="s">
        <v>21</v>
      </c>
      <c r="B42" t="s">
        <v>20</v>
      </c>
      <c r="C42" t="s">
        <v>14</v>
      </c>
      <c r="D42">
        <v>12</v>
      </c>
      <c r="E42">
        <v>15</v>
      </c>
      <c r="F42">
        <v>10.4</v>
      </c>
      <c r="G42">
        <f t="shared" si="0"/>
        <v>1.5999999999999996</v>
      </c>
      <c r="H42" t="str">
        <f t="shared" si="1"/>
        <v>SI</v>
      </c>
    </row>
    <row r="43" spans="1:8" x14ac:dyDescent="0.25">
      <c r="A43" t="s">
        <v>21</v>
      </c>
      <c r="B43" t="s">
        <v>20</v>
      </c>
      <c r="C43" t="s">
        <v>15</v>
      </c>
      <c r="D43">
        <v>30</v>
      </c>
      <c r="E43">
        <v>15</v>
      </c>
      <c r="F43">
        <v>44.2</v>
      </c>
      <c r="G43">
        <f t="shared" si="0"/>
        <v>14.200000000000003</v>
      </c>
      <c r="H43" t="str">
        <f t="shared" si="1"/>
        <v>SI</v>
      </c>
    </row>
    <row r="44" spans="1:8" x14ac:dyDescent="0.25">
      <c r="A44" t="s">
        <v>21</v>
      </c>
      <c r="B44" t="s">
        <v>20</v>
      </c>
      <c r="C44" t="s">
        <v>16</v>
      </c>
      <c r="D44">
        <v>42</v>
      </c>
      <c r="E44">
        <v>15</v>
      </c>
      <c r="F44">
        <v>75</v>
      </c>
      <c r="G44">
        <f t="shared" si="0"/>
        <v>33</v>
      </c>
      <c r="H44" t="str">
        <f t="shared" si="1"/>
        <v>NO</v>
      </c>
    </row>
    <row r="45" spans="1:8" x14ac:dyDescent="0.25">
      <c r="A45" t="s">
        <v>21</v>
      </c>
      <c r="B45" t="s">
        <v>20</v>
      </c>
      <c r="C45" t="s">
        <v>17</v>
      </c>
      <c r="D45">
        <v>59</v>
      </c>
      <c r="E45">
        <v>15</v>
      </c>
      <c r="F45">
        <v>80.800000000000011</v>
      </c>
      <c r="G45">
        <f t="shared" si="0"/>
        <v>21.800000000000011</v>
      </c>
      <c r="H45" t="str">
        <f t="shared" si="1"/>
        <v>NO</v>
      </c>
    </row>
    <row r="46" spans="1:8" x14ac:dyDescent="0.25">
      <c r="A46" t="s">
        <v>21</v>
      </c>
      <c r="B46" t="s">
        <v>20</v>
      </c>
      <c r="C46" t="s">
        <v>18</v>
      </c>
      <c r="D46">
        <v>72</v>
      </c>
      <c r="E46">
        <v>15</v>
      </c>
      <c r="F46">
        <v>44.2</v>
      </c>
      <c r="G46">
        <f t="shared" si="0"/>
        <v>27.799999999999997</v>
      </c>
      <c r="H46" t="str">
        <f t="shared" si="1"/>
        <v>NO</v>
      </c>
    </row>
    <row r="47" spans="1:8" x14ac:dyDescent="0.25">
      <c r="A47" t="s">
        <v>21</v>
      </c>
      <c r="B47" t="s">
        <v>20</v>
      </c>
      <c r="C47" t="s">
        <v>19</v>
      </c>
      <c r="D47">
        <v>89</v>
      </c>
      <c r="E47">
        <v>15</v>
      </c>
      <c r="F47">
        <v>44.2</v>
      </c>
      <c r="G47">
        <f t="shared" si="0"/>
        <v>44.8</v>
      </c>
      <c r="H47" t="str">
        <f t="shared" si="1"/>
        <v>NO</v>
      </c>
    </row>
    <row r="48" spans="1:8" x14ac:dyDescent="0.25">
      <c r="A48" t="s">
        <v>21</v>
      </c>
      <c r="B48" t="s">
        <v>20</v>
      </c>
      <c r="C48" t="s">
        <v>22</v>
      </c>
      <c r="D48">
        <v>103</v>
      </c>
      <c r="E48">
        <v>15</v>
      </c>
      <c r="F48">
        <v>120.9</v>
      </c>
      <c r="G48">
        <f t="shared" si="0"/>
        <v>17.900000000000006</v>
      </c>
      <c r="H48" t="str">
        <f t="shared" si="1"/>
        <v>NO</v>
      </c>
    </row>
    <row r="49" spans="1:8" x14ac:dyDescent="0.25">
      <c r="A49" t="s">
        <v>21</v>
      </c>
      <c r="B49" t="s">
        <v>20</v>
      </c>
      <c r="C49" t="s">
        <v>23</v>
      </c>
      <c r="D49">
        <v>119</v>
      </c>
      <c r="E49">
        <v>15</v>
      </c>
      <c r="F49">
        <v>4.1000000000000014</v>
      </c>
      <c r="G49">
        <f t="shared" si="0"/>
        <v>114.9</v>
      </c>
      <c r="H49" t="str">
        <f t="shared" si="1"/>
        <v>NO</v>
      </c>
    </row>
    <row r="50" spans="1:8" x14ac:dyDescent="0.25">
      <c r="A50" t="s">
        <v>21</v>
      </c>
      <c r="B50" t="s">
        <v>20</v>
      </c>
      <c r="C50" t="s">
        <v>24</v>
      </c>
      <c r="D50">
        <v>-1</v>
      </c>
      <c r="E50">
        <v>15</v>
      </c>
      <c r="F50">
        <v>22.8</v>
      </c>
      <c r="G50">
        <f t="shared" si="0"/>
        <v>23.8</v>
      </c>
      <c r="H50" t="str">
        <f t="shared" si="1"/>
        <v>NO</v>
      </c>
    </row>
    <row r="51" spans="1:8" x14ac:dyDescent="0.25">
      <c r="A51" t="s">
        <v>21</v>
      </c>
      <c r="B51" t="s">
        <v>20</v>
      </c>
      <c r="C51" t="s">
        <v>25</v>
      </c>
      <c r="D51">
        <v>-1</v>
      </c>
      <c r="E51">
        <v>15</v>
      </c>
      <c r="F51">
        <v>122.6</v>
      </c>
      <c r="G51">
        <f t="shared" si="0"/>
        <v>123.6</v>
      </c>
      <c r="H51" t="str">
        <f t="shared" si="1"/>
        <v>NO</v>
      </c>
    </row>
    <row r="52" spans="1:8" x14ac:dyDescent="0.25">
      <c r="A52" t="s">
        <v>26</v>
      </c>
      <c r="B52" t="s">
        <v>27</v>
      </c>
      <c r="C52" t="s">
        <v>8</v>
      </c>
      <c r="D52">
        <v>52</v>
      </c>
      <c r="E52">
        <v>27</v>
      </c>
      <c r="F52">
        <v>8.3000000000000007</v>
      </c>
      <c r="G52">
        <f t="shared" si="0"/>
        <v>43.7</v>
      </c>
      <c r="H52" t="str">
        <f t="shared" si="1"/>
        <v>NO</v>
      </c>
    </row>
    <row r="53" spans="1:8" x14ac:dyDescent="0.25">
      <c r="A53" t="s">
        <v>26</v>
      </c>
      <c r="B53" t="s">
        <v>27</v>
      </c>
      <c r="C53" t="s">
        <v>9</v>
      </c>
      <c r="D53">
        <v>29</v>
      </c>
      <c r="E53">
        <v>20</v>
      </c>
      <c r="F53">
        <v>3.1</v>
      </c>
      <c r="G53">
        <f t="shared" si="0"/>
        <v>25.9</v>
      </c>
      <c r="H53" t="str">
        <f t="shared" si="1"/>
        <v>NO</v>
      </c>
    </row>
    <row r="54" spans="1:8" x14ac:dyDescent="0.25">
      <c r="A54" t="s">
        <v>26</v>
      </c>
      <c r="B54" t="s">
        <v>27</v>
      </c>
      <c r="C54" t="s">
        <v>10</v>
      </c>
      <c r="D54">
        <v>71</v>
      </c>
      <c r="E54">
        <v>20</v>
      </c>
      <c r="F54">
        <v>3.1</v>
      </c>
      <c r="G54">
        <f t="shared" si="0"/>
        <v>67.900000000000006</v>
      </c>
      <c r="H54" t="str">
        <f t="shared" si="1"/>
        <v>NO</v>
      </c>
    </row>
    <row r="55" spans="1:8" x14ac:dyDescent="0.25">
      <c r="A55" t="s">
        <v>26</v>
      </c>
      <c r="B55" t="s">
        <v>27</v>
      </c>
      <c r="C55" t="s">
        <v>11</v>
      </c>
      <c r="D55">
        <v>30</v>
      </c>
      <c r="E55">
        <v>15</v>
      </c>
      <c r="F55">
        <v>42.900000000000013</v>
      </c>
      <c r="G55">
        <f t="shared" si="0"/>
        <v>12.900000000000013</v>
      </c>
      <c r="H55" t="str">
        <f t="shared" si="1"/>
        <v>SI</v>
      </c>
    </row>
    <row r="56" spans="1:8" x14ac:dyDescent="0.25">
      <c r="A56" t="s">
        <v>26</v>
      </c>
      <c r="B56" t="s">
        <v>27</v>
      </c>
      <c r="C56" t="s">
        <v>12</v>
      </c>
      <c r="D56">
        <v>64</v>
      </c>
      <c r="E56">
        <v>22</v>
      </c>
      <c r="F56">
        <v>9</v>
      </c>
      <c r="G56">
        <f t="shared" si="0"/>
        <v>55</v>
      </c>
      <c r="H56" t="str">
        <f t="shared" si="1"/>
        <v>NO</v>
      </c>
    </row>
    <row r="57" spans="1:8" x14ac:dyDescent="0.25">
      <c r="A57" t="s">
        <v>26</v>
      </c>
      <c r="B57" t="s">
        <v>27</v>
      </c>
      <c r="C57" t="s">
        <v>13</v>
      </c>
      <c r="D57">
        <v>7</v>
      </c>
      <c r="E57">
        <v>15</v>
      </c>
      <c r="F57">
        <v>135.30000000000001</v>
      </c>
      <c r="G57">
        <f t="shared" si="0"/>
        <v>128.30000000000001</v>
      </c>
      <c r="H57" t="str">
        <f t="shared" si="1"/>
        <v>NO</v>
      </c>
    </row>
    <row r="58" spans="1:8" x14ac:dyDescent="0.25">
      <c r="A58" t="s">
        <v>26</v>
      </c>
      <c r="B58" t="s">
        <v>27</v>
      </c>
      <c r="C58" t="s">
        <v>14</v>
      </c>
      <c r="D58">
        <v>22</v>
      </c>
      <c r="E58">
        <v>15</v>
      </c>
      <c r="F58">
        <v>100.6</v>
      </c>
      <c r="G58">
        <f t="shared" si="0"/>
        <v>78.599999999999994</v>
      </c>
      <c r="H58" t="str">
        <f t="shared" si="1"/>
        <v>NO</v>
      </c>
    </row>
    <row r="59" spans="1:8" x14ac:dyDescent="0.25">
      <c r="A59" t="s">
        <v>26</v>
      </c>
      <c r="B59" t="s">
        <v>27</v>
      </c>
      <c r="C59" t="s">
        <v>15</v>
      </c>
      <c r="D59">
        <v>38</v>
      </c>
      <c r="E59">
        <v>13</v>
      </c>
      <c r="F59">
        <v>3.1</v>
      </c>
      <c r="G59">
        <f t="shared" si="0"/>
        <v>34.9</v>
      </c>
      <c r="H59" t="str">
        <f t="shared" si="1"/>
        <v>NO</v>
      </c>
    </row>
    <row r="60" spans="1:8" x14ac:dyDescent="0.25">
      <c r="A60" t="s">
        <v>26</v>
      </c>
      <c r="B60" t="s">
        <v>27</v>
      </c>
      <c r="C60" t="s">
        <v>16</v>
      </c>
      <c r="D60">
        <v>28</v>
      </c>
      <c r="E60">
        <v>15</v>
      </c>
      <c r="F60">
        <v>14.4</v>
      </c>
      <c r="G60">
        <f t="shared" si="0"/>
        <v>13.6</v>
      </c>
      <c r="H60" t="str">
        <f t="shared" si="1"/>
        <v>SI</v>
      </c>
    </row>
    <row r="61" spans="1:8" x14ac:dyDescent="0.25">
      <c r="A61" t="s">
        <v>26</v>
      </c>
      <c r="B61" t="s">
        <v>27</v>
      </c>
      <c r="C61" t="s">
        <v>17</v>
      </c>
      <c r="D61">
        <v>43</v>
      </c>
      <c r="E61">
        <v>14</v>
      </c>
      <c r="F61">
        <v>20.2</v>
      </c>
      <c r="G61">
        <f t="shared" si="0"/>
        <v>22.8</v>
      </c>
      <c r="H61" t="str">
        <f t="shared" si="1"/>
        <v>NO</v>
      </c>
    </row>
    <row r="62" spans="1:8" x14ac:dyDescent="0.25">
      <c r="A62" t="s">
        <v>26</v>
      </c>
      <c r="B62" t="s">
        <v>27</v>
      </c>
      <c r="C62" t="s">
        <v>18</v>
      </c>
      <c r="D62">
        <v>8</v>
      </c>
      <c r="E62">
        <v>15</v>
      </c>
      <c r="F62">
        <v>16.5</v>
      </c>
      <c r="G62">
        <f t="shared" si="0"/>
        <v>8.5</v>
      </c>
      <c r="H62" t="str">
        <f t="shared" si="1"/>
        <v>SI</v>
      </c>
    </row>
    <row r="63" spans="1:8" x14ac:dyDescent="0.25">
      <c r="A63" t="s">
        <v>26</v>
      </c>
      <c r="B63" t="s">
        <v>27</v>
      </c>
      <c r="C63" t="s">
        <v>19</v>
      </c>
      <c r="D63">
        <v>22</v>
      </c>
      <c r="E63">
        <v>20</v>
      </c>
      <c r="F63">
        <v>12.6</v>
      </c>
      <c r="G63">
        <f t="shared" si="0"/>
        <v>9.4</v>
      </c>
      <c r="H63" t="str">
        <f t="shared" si="1"/>
        <v>SI</v>
      </c>
    </row>
    <row r="64" spans="1:8" x14ac:dyDescent="0.25">
      <c r="A64" t="s">
        <v>26</v>
      </c>
      <c r="B64" t="s">
        <v>27</v>
      </c>
      <c r="C64" t="s">
        <v>22</v>
      </c>
      <c r="D64">
        <v>42</v>
      </c>
      <c r="E64">
        <v>20</v>
      </c>
      <c r="F64">
        <v>95.9</v>
      </c>
      <c r="G64">
        <f t="shared" si="0"/>
        <v>53.900000000000006</v>
      </c>
      <c r="H64" t="str">
        <f t="shared" si="1"/>
        <v>NO</v>
      </c>
    </row>
    <row r="65" spans="1:8" x14ac:dyDescent="0.25">
      <c r="A65" t="s">
        <v>26</v>
      </c>
      <c r="B65" t="s">
        <v>27</v>
      </c>
      <c r="C65" t="s">
        <v>23</v>
      </c>
      <c r="D65">
        <v>62</v>
      </c>
      <c r="E65">
        <v>20</v>
      </c>
      <c r="F65">
        <v>12.6</v>
      </c>
      <c r="G65">
        <f t="shared" si="0"/>
        <v>49.4</v>
      </c>
      <c r="H65" t="str">
        <f t="shared" si="1"/>
        <v>NO</v>
      </c>
    </row>
    <row r="66" spans="1:8" x14ac:dyDescent="0.25">
      <c r="A66" t="s">
        <v>26</v>
      </c>
      <c r="B66" t="s">
        <v>27</v>
      </c>
      <c r="C66" t="s">
        <v>24</v>
      </c>
      <c r="D66">
        <v>83</v>
      </c>
      <c r="E66">
        <v>30</v>
      </c>
      <c r="F66">
        <v>103.7</v>
      </c>
      <c r="G66">
        <f t="shared" si="0"/>
        <v>20.700000000000003</v>
      </c>
      <c r="H66" t="str">
        <f t="shared" si="1"/>
        <v>NO</v>
      </c>
    </row>
    <row r="67" spans="1:8" x14ac:dyDescent="0.25">
      <c r="A67" t="s">
        <v>26</v>
      </c>
      <c r="B67" t="s">
        <v>27</v>
      </c>
      <c r="C67" t="s">
        <v>25</v>
      </c>
      <c r="D67">
        <v>112</v>
      </c>
      <c r="E67">
        <v>30</v>
      </c>
      <c r="F67">
        <v>95.9</v>
      </c>
      <c r="G67">
        <f t="shared" ref="G67:G130" si="2">ABS(D67-F67)</f>
        <v>16.099999999999994</v>
      </c>
      <c r="H67" t="str">
        <f t="shared" ref="H67:H130" si="3">IF(G67&lt;=15,"SI","NO")</f>
        <v>NO</v>
      </c>
    </row>
    <row r="68" spans="1:8" x14ac:dyDescent="0.25">
      <c r="A68" t="s">
        <v>26</v>
      </c>
      <c r="B68" t="s">
        <v>27</v>
      </c>
      <c r="C68" t="s">
        <v>28</v>
      </c>
      <c r="D68">
        <v>143</v>
      </c>
      <c r="E68">
        <v>30</v>
      </c>
      <c r="F68">
        <v>8.8000000000000007</v>
      </c>
      <c r="G68">
        <f t="shared" si="2"/>
        <v>134.19999999999999</v>
      </c>
      <c r="H68" t="str">
        <f t="shared" si="3"/>
        <v>NO</v>
      </c>
    </row>
    <row r="69" spans="1:8" x14ac:dyDescent="0.25">
      <c r="A69" t="s">
        <v>26</v>
      </c>
      <c r="B69" t="s">
        <v>27</v>
      </c>
      <c r="C69" t="s">
        <v>29</v>
      </c>
      <c r="D69">
        <v>22</v>
      </c>
      <c r="E69">
        <v>15</v>
      </c>
      <c r="F69">
        <v>151.69999999999999</v>
      </c>
      <c r="G69">
        <f t="shared" si="2"/>
        <v>129.69999999999999</v>
      </c>
      <c r="H69" t="str">
        <f t="shared" si="3"/>
        <v>NO</v>
      </c>
    </row>
    <row r="70" spans="1:8" x14ac:dyDescent="0.25">
      <c r="A70" t="s">
        <v>26</v>
      </c>
      <c r="B70" t="s">
        <v>27</v>
      </c>
      <c r="C70" t="s">
        <v>30</v>
      </c>
      <c r="D70">
        <v>37</v>
      </c>
      <c r="E70">
        <v>15</v>
      </c>
      <c r="F70">
        <v>3.1</v>
      </c>
      <c r="G70">
        <f t="shared" si="2"/>
        <v>33.9</v>
      </c>
      <c r="H70" t="str">
        <f t="shared" si="3"/>
        <v>NO</v>
      </c>
    </row>
    <row r="71" spans="1:8" x14ac:dyDescent="0.25">
      <c r="A71" t="s">
        <v>26</v>
      </c>
      <c r="B71" t="s">
        <v>27</v>
      </c>
      <c r="C71" t="s">
        <v>31</v>
      </c>
      <c r="D71">
        <v>52</v>
      </c>
      <c r="E71">
        <v>20</v>
      </c>
      <c r="F71">
        <v>151.69999999999999</v>
      </c>
      <c r="G71">
        <f t="shared" si="2"/>
        <v>99.699999999999989</v>
      </c>
      <c r="H71" t="str">
        <f t="shared" si="3"/>
        <v>NO</v>
      </c>
    </row>
    <row r="72" spans="1:8" x14ac:dyDescent="0.25">
      <c r="A72" t="s">
        <v>26</v>
      </c>
      <c r="B72" t="s">
        <v>27</v>
      </c>
      <c r="C72" t="s">
        <v>32</v>
      </c>
      <c r="D72">
        <v>62</v>
      </c>
      <c r="E72">
        <v>20</v>
      </c>
      <c r="F72">
        <v>151.69999999999999</v>
      </c>
      <c r="G72">
        <f t="shared" si="2"/>
        <v>89.699999999999989</v>
      </c>
      <c r="H72" t="str">
        <f t="shared" si="3"/>
        <v>NO</v>
      </c>
    </row>
    <row r="73" spans="1:8" x14ac:dyDescent="0.25">
      <c r="A73" t="s">
        <v>26</v>
      </c>
      <c r="B73" t="s">
        <v>27</v>
      </c>
      <c r="C73" t="s">
        <v>33</v>
      </c>
      <c r="D73">
        <v>103</v>
      </c>
      <c r="E73">
        <v>25</v>
      </c>
      <c r="F73">
        <v>50.7</v>
      </c>
      <c r="G73">
        <f t="shared" si="2"/>
        <v>52.3</v>
      </c>
      <c r="H73" t="str">
        <f t="shared" si="3"/>
        <v>NO</v>
      </c>
    </row>
    <row r="74" spans="1:8" x14ac:dyDescent="0.25">
      <c r="A74" t="s">
        <v>26</v>
      </c>
      <c r="B74" t="s">
        <v>27</v>
      </c>
      <c r="C74" t="s">
        <v>34</v>
      </c>
      <c r="D74">
        <v>128</v>
      </c>
      <c r="E74">
        <v>25</v>
      </c>
      <c r="F74">
        <v>151.69999999999999</v>
      </c>
      <c r="G74">
        <f t="shared" si="2"/>
        <v>23.699999999999989</v>
      </c>
      <c r="H74" t="str">
        <f t="shared" si="3"/>
        <v>NO</v>
      </c>
    </row>
    <row r="75" spans="1:8" x14ac:dyDescent="0.25">
      <c r="A75" t="s">
        <v>26</v>
      </c>
      <c r="B75" t="s">
        <v>27</v>
      </c>
      <c r="C75" t="s">
        <v>35</v>
      </c>
      <c r="D75">
        <v>153</v>
      </c>
      <c r="E75">
        <v>25</v>
      </c>
      <c r="F75">
        <v>100.6</v>
      </c>
      <c r="G75">
        <f t="shared" si="2"/>
        <v>52.400000000000006</v>
      </c>
      <c r="H75" t="str">
        <f t="shared" si="3"/>
        <v>NO</v>
      </c>
    </row>
    <row r="76" spans="1:8" x14ac:dyDescent="0.25">
      <c r="A76" t="s">
        <v>26</v>
      </c>
      <c r="B76" t="s">
        <v>27</v>
      </c>
      <c r="C76" t="s">
        <v>36</v>
      </c>
      <c r="D76">
        <v>4</v>
      </c>
      <c r="E76">
        <v>20</v>
      </c>
      <c r="F76">
        <v>8.9</v>
      </c>
      <c r="G76">
        <f t="shared" si="2"/>
        <v>4.9000000000000004</v>
      </c>
      <c r="H76" t="str">
        <f t="shared" si="3"/>
        <v>SI</v>
      </c>
    </row>
    <row r="77" spans="1:8" x14ac:dyDescent="0.25">
      <c r="A77" t="s">
        <v>26</v>
      </c>
      <c r="B77" t="s">
        <v>27</v>
      </c>
      <c r="C77" t="s">
        <v>37</v>
      </c>
      <c r="D77">
        <v>24</v>
      </c>
      <c r="E77">
        <v>20</v>
      </c>
      <c r="F77">
        <v>151.69999999999999</v>
      </c>
      <c r="G77">
        <f t="shared" si="2"/>
        <v>127.69999999999999</v>
      </c>
      <c r="H77" t="str">
        <f t="shared" si="3"/>
        <v>NO</v>
      </c>
    </row>
    <row r="78" spans="1:8" x14ac:dyDescent="0.25">
      <c r="A78" t="s">
        <v>26</v>
      </c>
      <c r="B78" t="s">
        <v>27</v>
      </c>
      <c r="C78" t="s">
        <v>38</v>
      </c>
      <c r="D78">
        <v>44</v>
      </c>
      <c r="E78">
        <v>30</v>
      </c>
      <c r="F78">
        <v>151.69999999999999</v>
      </c>
      <c r="G78">
        <f t="shared" si="2"/>
        <v>107.69999999999999</v>
      </c>
      <c r="H78" t="str">
        <f t="shared" si="3"/>
        <v>NO</v>
      </c>
    </row>
    <row r="79" spans="1:8" x14ac:dyDescent="0.25">
      <c r="A79" t="s">
        <v>26</v>
      </c>
      <c r="B79" t="s">
        <v>27</v>
      </c>
      <c r="C79" t="s">
        <v>39</v>
      </c>
      <c r="D79">
        <v>84</v>
      </c>
      <c r="E79">
        <v>30</v>
      </c>
      <c r="F79">
        <v>151.69999999999999</v>
      </c>
      <c r="G79">
        <f t="shared" si="2"/>
        <v>67.699999999999989</v>
      </c>
      <c r="H79" t="str">
        <f t="shared" si="3"/>
        <v>NO</v>
      </c>
    </row>
    <row r="80" spans="1:8" x14ac:dyDescent="0.25">
      <c r="A80" t="s">
        <v>26</v>
      </c>
      <c r="B80" t="s">
        <v>27</v>
      </c>
      <c r="C80" t="s">
        <v>40</v>
      </c>
      <c r="D80">
        <v>114</v>
      </c>
      <c r="E80">
        <v>30</v>
      </c>
      <c r="F80">
        <v>151.69999999999999</v>
      </c>
      <c r="G80">
        <f t="shared" si="2"/>
        <v>37.699999999999989</v>
      </c>
      <c r="H80" t="str">
        <f t="shared" si="3"/>
        <v>NO</v>
      </c>
    </row>
    <row r="81" spans="1:8" x14ac:dyDescent="0.25">
      <c r="A81" t="s">
        <v>26</v>
      </c>
      <c r="B81" t="s">
        <v>27</v>
      </c>
      <c r="C81" t="s">
        <v>41</v>
      </c>
      <c r="D81">
        <v>144</v>
      </c>
      <c r="E81">
        <v>20</v>
      </c>
      <c r="F81">
        <v>151.69999999999999</v>
      </c>
      <c r="G81">
        <f t="shared" si="2"/>
        <v>7.6999999999999886</v>
      </c>
      <c r="H81" t="str">
        <f t="shared" si="3"/>
        <v>SI</v>
      </c>
    </row>
    <row r="82" spans="1:8" x14ac:dyDescent="0.25">
      <c r="A82" t="s">
        <v>42</v>
      </c>
      <c r="B82" t="s">
        <v>43</v>
      </c>
      <c r="C82" t="s">
        <v>8</v>
      </c>
      <c r="D82">
        <v>9</v>
      </c>
      <c r="E82">
        <v>15</v>
      </c>
      <c r="F82">
        <v>237.7</v>
      </c>
      <c r="G82">
        <f t="shared" si="2"/>
        <v>228.7</v>
      </c>
      <c r="H82" t="str">
        <f t="shared" si="3"/>
        <v>NO</v>
      </c>
    </row>
    <row r="83" spans="1:8" x14ac:dyDescent="0.25">
      <c r="A83" t="s">
        <v>42</v>
      </c>
      <c r="B83" t="s">
        <v>43</v>
      </c>
      <c r="C83" t="s">
        <v>9</v>
      </c>
      <c r="D83">
        <v>24</v>
      </c>
      <c r="E83">
        <v>15</v>
      </c>
      <c r="F83">
        <v>115</v>
      </c>
      <c r="G83">
        <f t="shared" si="2"/>
        <v>91</v>
      </c>
      <c r="H83" t="str">
        <f t="shared" si="3"/>
        <v>NO</v>
      </c>
    </row>
    <row r="84" spans="1:8" x14ac:dyDescent="0.25">
      <c r="A84" t="s">
        <v>42</v>
      </c>
      <c r="B84" t="s">
        <v>43</v>
      </c>
      <c r="C84" t="s">
        <v>10</v>
      </c>
      <c r="D84">
        <v>39</v>
      </c>
      <c r="E84">
        <v>15</v>
      </c>
      <c r="F84">
        <v>115</v>
      </c>
      <c r="G84">
        <f t="shared" si="2"/>
        <v>76</v>
      </c>
      <c r="H84" t="str">
        <f t="shared" si="3"/>
        <v>NO</v>
      </c>
    </row>
    <row r="85" spans="1:8" x14ac:dyDescent="0.25">
      <c r="A85" t="s">
        <v>42</v>
      </c>
      <c r="B85" t="s">
        <v>43</v>
      </c>
      <c r="C85" t="s">
        <v>11</v>
      </c>
      <c r="D85">
        <v>54</v>
      </c>
      <c r="E85">
        <v>15</v>
      </c>
      <c r="F85">
        <v>115</v>
      </c>
      <c r="G85">
        <f t="shared" si="2"/>
        <v>61</v>
      </c>
      <c r="H85" t="str">
        <f t="shared" si="3"/>
        <v>NO</v>
      </c>
    </row>
    <row r="86" spans="1:8" x14ac:dyDescent="0.25">
      <c r="A86" t="s">
        <v>42</v>
      </c>
      <c r="B86" t="s">
        <v>43</v>
      </c>
      <c r="C86" t="s">
        <v>12</v>
      </c>
      <c r="D86">
        <v>69</v>
      </c>
      <c r="E86">
        <v>15</v>
      </c>
      <c r="F86">
        <v>115</v>
      </c>
      <c r="G86">
        <f t="shared" si="2"/>
        <v>46</v>
      </c>
      <c r="H86" t="str">
        <f t="shared" si="3"/>
        <v>NO</v>
      </c>
    </row>
    <row r="87" spans="1:8" x14ac:dyDescent="0.25">
      <c r="A87" t="s">
        <v>42</v>
      </c>
      <c r="B87" t="s">
        <v>43</v>
      </c>
      <c r="C87" t="s">
        <v>13</v>
      </c>
      <c r="D87">
        <v>84</v>
      </c>
      <c r="E87">
        <v>15</v>
      </c>
      <c r="F87">
        <v>99.4</v>
      </c>
      <c r="G87">
        <f t="shared" si="2"/>
        <v>15.400000000000006</v>
      </c>
      <c r="H87" t="str">
        <f t="shared" si="3"/>
        <v>NO</v>
      </c>
    </row>
    <row r="88" spans="1:8" x14ac:dyDescent="0.25">
      <c r="A88" t="s">
        <v>42</v>
      </c>
      <c r="B88" t="s">
        <v>43</v>
      </c>
      <c r="C88" t="s">
        <v>14</v>
      </c>
      <c r="D88">
        <v>99</v>
      </c>
      <c r="E88">
        <v>15</v>
      </c>
      <c r="F88">
        <v>99.4</v>
      </c>
      <c r="G88">
        <f t="shared" si="2"/>
        <v>0.40000000000000568</v>
      </c>
      <c r="H88" t="str">
        <f t="shared" si="3"/>
        <v>SI</v>
      </c>
    </row>
    <row r="89" spans="1:8" x14ac:dyDescent="0.25">
      <c r="A89" t="s">
        <v>42</v>
      </c>
      <c r="B89" t="s">
        <v>43</v>
      </c>
      <c r="C89" t="s">
        <v>15</v>
      </c>
      <c r="D89">
        <v>114</v>
      </c>
      <c r="E89">
        <v>15</v>
      </c>
      <c r="F89">
        <v>115</v>
      </c>
      <c r="G89">
        <f t="shared" si="2"/>
        <v>1</v>
      </c>
      <c r="H89" t="str">
        <f t="shared" si="3"/>
        <v>SI</v>
      </c>
    </row>
    <row r="90" spans="1:8" x14ac:dyDescent="0.25">
      <c r="A90" t="s">
        <v>42</v>
      </c>
      <c r="B90" t="s">
        <v>43</v>
      </c>
      <c r="C90" t="s">
        <v>16</v>
      </c>
      <c r="D90">
        <v>129</v>
      </c>
      <c r="E90">
        <v>15</v>
      </c>
      <c r="F90">
        <v>232.5</v>
      </c>
      <c r="G90">
        <f t="shared" si="2"/>
        <v>103.5</v>
      </c>
      <c r="H90" t="str">
        <f t="shared" si="3"/>
        <v>NO</v>
      </c>
    </row>
    <row r="91" spans="1:8" x14ac:dyDescent="0.25">
      <c r="A91" t="s">
        <v>42</v>
      </c>
      <c r="B91" t="s">
        <v>43</v>
      </c>
      <c r="C91" t="s">
        <v>17</v>
      </c>
      <c r="D91">
        <v>144</v>
      </c>
      <c r="E91">
        <v>15</v>
      </c>
      <c r="F91">
        <v>115</v>
      </c>
      <c r="G91">
        <f t="shared" si="2"/>
        <v>29</v>
      </c>
      <c r="H91" t="str">
        <f t="shared" si="3"/>
        <v>NO</v>
      </c>
    </row>
    <row r="92" spans="1:8" x14ac:dyDescent="0.25">
      <c r="A92" t="s">
        <v>42</v>
      </c>
      <c r="B92" t="s">
        <v>43</v>
      </c>
      <c r="C92" t="s">
        <v>18</v>
      </c>
      <c r="D92">
        <v>185</v>
      </c>
      <c r="E92">
        <v>15</v>
      </c>
      <c r="F92">
        <v>237.7</v>
      </c>
      <c r="G92">
        <f t="shared" si="2"/>
        <v>52.699999999999989</v>
      </c>
      <c r="H92" t="str">
        <f t="shared" si="3"/>
        <v>NO</v>
      </c>
    </row>
    <row r="93" spans="1:8" x14ac:dyDescent="0.25">
      <c r="A93" t="s">
        <v>42</v>
      </c>
      <c r="B93" t="s">
        <v>44</v>
      </c>
      <c r="C93" t="s">
        <v>8</v>
      </c>
      <c r="D93">
        <v>37</v>
      </c>
      <c r="E93">
        <v>15</v>
      </c>
      <c r="F93">
        <v>217.9</v>
      </c>
      <c r="G93">
        <f t="shared" si="2"/>
        <v>180.9</v>
      </c>
      <c r="H93" t="str">
        <f t="shared" si="3"/>
        <v>NO</v>
      </c>
    </row>
    <row r="94" spans="1:8" x14ac:dyDescent="0.25">
      <c r="A94" t="s">
        <v>42</v>
      </c>
      <c r="B94" t="s">
        <v>44</v>
      </c>
      <c r="C94" t="s">
        <v>9</v>
      </c>
      <c r="D94">
        <v>52</v>
      </c>
      <c r="E94">
        <v>15</v>
      </c>
      <c r="F94">
        <v>12.1</v>
      </c>
      <c r="G94">
        <f t="shared" si="2"/>
        <v>39.9</v>
      </c>
      <c r="H94" t="str">
        <f t="shared" si="3"/>
        <v>NO</v>
      </c>
    </row>
    <row r="95" spans="1:8" x14ac:dyDescent="0.25">
      <c r="A95" t="s">
        <v>42</v>
      </c>
      <c r="B95" t="s">
        <v>44</v>
      </c>
      <c r="C95" t="s">
        <v>10</v>
      </c>
      <c r="D95">
        <v>67</v>
      </c>
      <c r="E95">
        <v>15</v>
      </c>
      <c r="F95">
        <v>194.4</v>
      </c>
      <c r="G95">
        <f t="shared" si="2"/>
        <v>127.4</v>
      </c>
      <c r="H95" t="str">
        <f t="shared" si="3"/>
        <v>NO</v>
      </c>
    </row>
    <row r="96" spans="1:8" x14ac:dyDescent="0.25">
      <c r="A96" t="s">
        <v>42</v>
      </c>
      <c r="B96" t="s">
        <v>44</v>
      </c>
      <c r="C96" t="s">
        <v>11</v>
      </c>
      <c r="D96">
        <v>82</v>
      </c>
      <c r="E96">
        <v>15</v>
      </c>
      <c r="F96">
        <v>217.9</v>
      </c>
      <c r="G96">
        <f t="shared" si="2"/>
        <v>135.9</v>
      </c>
      <c r="H96" t="str">
        <f t="shared" si="3"/>
        <v>NO</v>
      </c>
    </row>
    <row r="97" spans="1:8" x14ac:dyDescent="0.25">
      <c r="A97" t="s">
        <v>42</v>
      </c>
      <c r="B97" t="s">
        <v>44</v>
      </c>
      <c r="C97" t="s">
        <v>12</v>
      </c>
      <c r="D97">
        <v>97</v>
      </c>
      <c r="E97">
        <v>15</v>
      </c>
      <c r="F97">
        <v>29.5</v>
      </c>
      <c r="G97">
        <f t="shared" si="2"/>
        <v>67.5</v>
      </c>
      <c r="H97" t="str">
        <f t="shared" si="3"/>
        <v>NO</v>
      </c>
    </row>
    <row r="98" spans="1:8" x14ac:dyDescent="0.25">
      <c r="A98" t="s">
        <v>42</v>
      </c>
      <c r="B98" t="s">
        <v>44</v>
      </c>
      <c r="C98" t="s">
        <v>13</v>
      </c>
      <c r="D98">
        <v>112</v>
      </c>
      <c r="E98">
        <v>15</v>
      </c>
      <c r="F98">
        <v>194.4</v>
      </c>
      <c r="G98">
        <f t="shared" si="2"/>
        <v>82.4</v>
      </c>
      <c r="H98" t="str">
        <f t="shared" si="3"/>
        <v>NO</v>
      </c>
    </row>
    <row r="99" spans="1:8" x14ac:dyDescent="0.25">
      <c r="A99" t="s">
        <v>42</v>
      </c>
      <c r="B99" t="s">
        <v>44</v>
      </c>
      <c r="C99" t="s">
        <v>14</v>
      </c>
      <c r="D99">
        <v>127</v>
      </c>
      <c r="E99">
        <v>15</v>
      </c>
      <c r="F99">
        <v>218</v>
      </c>
      <c r="G99">
        <f t="shared" si="2"/>
        <v>91</v>
      </c>
      <c r="H99" t="str">
        <f t="shared" si="3"/>
        <v>NO</v>
      </c>
    </row>
    <row r="100" spans="1:8" x14ac:dyDescent="0.25">
      <c r="A100" t="s">
        <v>42</v>
      </c>
      <c r="B100" t="s">
        <v>44</v>
      </c>
      <c r="C100" t="s">
        <v>15</v>
      </c>
      <c r="D100">
        <v>142</v>
      </c>
      <c r="E100">
        <v>15</v>
      </c>
      <c r="F100">
        <v>218</v>
      </c>
      <c r="G100">
        <f t="shared" si="2"/>
        <v>76</v>
      </c>
      <c r="H100" t="str">
        <f t="shared" si="3"/>
        <v>NO</v>
      </c>
    </row>
    <row r="101" spans="1:8" x14ac:dyDescent="0.25">
      <c r="A101" t="s">
        <v>42</v>
      </c>
      <c r="B101" t="s">
        <v>44</v>
      </c>
      <c r="C101" t="s">
        <v>16</v>
      </c>
      <c r="D101">
        <v>183</v>
      </c>
      <c r="E101">
        <v>15</v>
      </c>
      <c r="F101">
        <v>11.8</v>
      </c>
      <c r="G101">
        <f t="shared" si="2"/>
        <v>171.2</v>
      </c>
      <c r="H101" t="str">
        <f t="shared" si="3"/>
        <v>NO</v>
      </c>
    </row>
    <row r="102" spans="1:8" x14ac:dyDescent="0.25">
      <c r="A102" t="s">
        <v>42</v>
      </c>
      <c r="B102" t="s">
        <v>44</v>
      </c>
      <c r="C102" t="s">
        <v>17</v>
      </c>
      <c r="D102">
        <v>198</v>
      </c>
      <c r="E102">
        <v>15</v>
      </c>
      <c r="F102">
        <v>12.1</v>
      </c>
      <c r="G102">
        <f t="shared" si="2"/>
        <v>185.9</v>
      </c>
      <c r="H102" t="str">
        <f t="shared" si="3"/>
        <v>NO</v>
      </c>
    </row>
    <row r="103" spans="1:8" x14ac:dyDescent="0.25">
      <c r="A103" t="s">
        <v>42</v>
      </c>
      <c r="B103" t="s">
        <v>45</v>
      </c>
      <c r="C103" t="s">
        <v>8</v>
      </c>
      <c r="D103">
        <v>10</v>
      </c>
      <c r="E103">
        <v>15</v>
      </c>
      <c r="F103">
        <v>237.7</v>
      </c>
      <c r="G103">
        <f t="shared" si="2"/>
        <v>227.7</v>
      </c>
      <c r="H103" t="str">
        <f t="shared" si="3"/>
        <v>NO</v>
      </c>
    </row>
    <row r="104" spans="1:8" x14ac:dyDescent="0.25">
      <c r="A104" t="s">
        <v>42</v>
      </c>
      <c r="B104" t="s">
        <v>45</v>
      </c>
      <c r="C104" t="s">
        <v>9</v>
      </c>
      <c r="D104">
        <v>25</v>
      </c>
      <c r="E104">
        <v>15</v>
      </c>
      <c r="F104">
        <v>66.8</v>
      </c>
      <c r="G104">
        <f t="shared" si="2"/>
        <v>41.8</v>
      </c>
      <c r="H104" t="str">
        <f t="shared" si="3"/>
        <v>NO</v>
      </c>
    </row>
    <row r="105" spans="1:8" x14ac:dyDescent="0.25">
      <c r="A105" t="s">
        <v>42</v>
      </c>
      <c r="B105" t="s">
        <v>45</v>
      </c>
      <c r="C105" t="s">
        <v>10</v>
      </c>
      <c r="D105">
        <v>40</v>
      </c>
      <c r="E105">
        <v>15</v>
      </c>
      <c r="F105">
        <v>66.8</v>
      </c>
      <c r="G105">
        <f t="shared" si="2"/>
        <v>26.799999999999997</v>
      </c>
      <c r="H105" t="str">
        <f t="shared" si="3"/>
        <v>NO</v>
      </c>
    </row>
    <row r="106" spans="1:8" x14ac:dyDescent="0.25">
      <c r="A106" t="s">
        <v>42</v>
      </c>
      <c r="B106" t="s">
        <v>45</v>
      </c>
      <c r="C106" t="s">
        <v>11</v>
      </c>
      <c r="D106">
        <v>55</v>
      </c>
      <c r="E106">
        <v>15</v>
      </c>
      <c r="F106">
        <v>140.6</v>
      </c>
      <c r="G106">
        <f t="shared" si="2"/>
        <v>85.6</v>
      </c>
      <c r="H106" t="str">
        <f t="shared" si="3"/>
        <v>NO</v>
      </c>
    </row>
    <row r="107" spans="1:8" x14ac:dyDescent="0.25">
      <c r="A107" t="s">
        <v>42</v>
      </c>
      <c r="B107" t="s">
        <v>45</v>
      </c>
      <c r="C107" t="s">
        <v>12</v>
      </c>
      <c r="D107">
        <v>70</v>
      </c>
      <c r="E107">
        <v>15</v>
      </c>
      <c r="F107">
        <v>231.9</v>
      </c>
      <c r="G107">
        <f t="shared" si="2"/>
        <v>161.9</v>
      </c>
      <c r="H107" t="str">
        <f t="shared" si="3"/>
        <v>NO</v>
      </c>
    </row>
    <row r="108" spans="1:8" x14ac:dyDescent="0.25">
      <c r="A108" t="s">
        <v>42</v>
      </c>
      <c r="B108" t="s">
        <v>45</v>
      </c>
      <c r="C108" t="s">
        <v>13</v>
      </c>
      <c r="D108">
        <v>85</v>
      </c>
      <c r="E108">
        <v>15</v>
      </c>
      <c r="F108">
        <v>140.6</v>
      </c>
      <c r="G108">
        <f t="shared" si="2"/>
        <v>55.599999999999994</v>
      </c>
      <c r="H108" t="str">
        <f t="shared" si="3"/>
        <v>NO</v>
      </c>
    </row>
    <row r="109" spans="1:8" x14ac:dyDescent="0.25">
      <c r="A109" t="s">
        <v>42</v>
      </c>
      <c r="B109" t="s">
        <v>45</v>
      </c>
      <c r="C109" t="s">
        <v>14</v>
      </c>
      <c r="D109">
        <v>100</v>
      </c>
      <c r="E109">
        <v>15</v>
      </c>
      <c r="F109">
        <v>67.8</v>
      </c>
      <c r="G109">
        <f t="shared" si="2"/>
        <v>32.200000000000003</v>
      </c>
      <c r="H109" t="str">
        <f t="shared" si="3"/>
        <v>NO</v>
      </c>
    </row>
    <row r="110" spans="1:8" x14ac:dyDescent="0.25">
      <c r="A110" t="s">
        <v>42</v>
      </c>
      <c r="B110" t="s">
        <v>45</v>
      </c>
      <c r="C110" t="s">
        <v>15</v>
      </c>
      <c r="D110">
        <v>115</v>
      </c>
      <c r="E110">
        <v>15</v>
      </c>
      <c r="F110">
        <v>184.7</v>
      </c>
      <c r="G110">
        <f t="shared" si="2"/>
        <v>69.699999999999989</v>
      </c>
      <c r="H110" t="str">
        <f t="shared" si="3"/>
        <v>NO</v>
      </c>
    </row>
    <row r="111" spans="1:8" x14ac:dyDescent="0.25">
      <c r="A111" t="s">
        <v>42</v>
      </c>
      <c r="B111" t="s">
        <v>45</v>
      </c>
      <c r="C111" t="s">
        <v>16</v>
      </c>
      <c r="D111">
        <v>130</v>
      </c>
      <c r="E111">
        <v>15</v>
      </c>
      <c r="F111">
        <v>143.6</v>
      </c>
      <c r="G111">
        <f t="shared" si="2"/>
        <v>13.599999999999994</v>
      </c>
      <c r="H111" t="str">
        <f t="shared" si="3"/>
        <v>SI</v>
      </c>
    </row>
    <row r="112" spans="1:8" x14ac:dyDescent="0.25">
      <c r="A112" t="s">
        <v>42</v>
      </c>
      <c r="B112" t="s">
        <v>45</v>
      </c>
      <c r="C112" t="s">
        <v>17</v>
      </c>
      <c r="D112">
        <v>145</v>
      </c>
      <c r="E112">
        <v>15</v>
      </c>
      <c r="F112">
        <v>143.9</v>
      </c>
      <c r="G112">
        <f t="shared" si="2"/>
        <v>1.0999999999999943</v>
      </c>
      <c r="H112" t="str">
        <f t="shared" si="3"/>
        <v>SI</v>
      </c>
    </row>
    <row r="113" spans="1:8" x14ac:dyDescent="0.25">
      <c r="A113" t="s">
        <v>42</v>
      </c>
      <c r="B113" t="s">
        <v>45</v>
      </c>
      <c r="C113" t="s">
        <v>18</v>
      </c>
      <c r="D113">
        <v>-1</v>
      </c>
      <c r="E113">
        <v>15</v>
      </c>
      <c r="F113">
        <v>227.5</v>
      </c>
      <c r="G113">
        <f t="shared" si="2"/>
        <v>228.5</v>
      </c>
      <c r="H113" t="str">
        <f t="shared" si="3"/>
        <v>NO</v>
      </c>
    </row>
    <row r="114" spans="1:8" x14ac:dyDescent="0.25">
      <c r="A114" t="s">
        <v>42</v>
      </c>
      <c r="B114" t="s">
        <v>45</v>
      </c>
      <c r="C114" t="s">
        <v>19</v>
      </c>
      <c r="D114">
        <v>-1</v>
      </c>
      <c r="E114">
        <v>15</v>
      </c>
      <c r="F114">
        <v>237.7</v>
      </c>
      <c r="G114">
        <f t="shared" si="2"/>
        <v>238.7</v>
      </c>
      <c r="H114" t="str">
        <f t="shared" si="3"/>
        <v>NO</v>
      </c>
    </row>
    <row r="115" spans="1:8" x14ac:dyDescent="0.25">
      <c r="A115" t="s">
        <v>46</v>
      </c>
      <c r="B115" t="s">
        <v>47</v>
      </c>
      <c r="C115" t="s">
        <v>8</v>
      </c>
      <c r="D115">
        <v>58</v>
      </c>
      <c r="E115">
        <v>15</v>
      </c>
      <c r="F115">
        <v>4.8000000000000007</v>
      </c>
      <c r="G115">
        <f t="shared" si="2"/>
        <v>53.2</v>
      </c>
      <c r="H115" t="str">
        <f t="shared" si="3"/>
        <v>NO</v>
      </c>
    </row>
    <row r="116" spans="1:8" x14ac:dyDescent="0.25">
      <c r="A116" t="s">
        <v>46</v>
      </c>
      <c r="B116" t="s">
        <v>47</v>
      </c>
      <c r="C116" t="s">
        <v>9</v>
      </c>
      <c r="D116">
        <v>75</v>
      </c>
      <c r="E116">
        <v>15</v>
      </c>
      <c r="F116">
        <v>5.4</v>
      </c>
      <c r="G116">
        <f t="shared" si="2"/>
        <v>69.599999999999994</v>
      </c>
      <c r="H116" t="str">
        <f t="shared" si="3"/>
        <v>NO</v>
      </c>
    </row>
    <row r="117" spans="1:8" x14ac:dyDescent="0.25">
      <c r="A117" t="s">
        <v>46</v>
      </c>
      <c r="B117" t="s">
        <v>47</v>
      </c>
      <c r="C117" t="s">
        <v>10</v>
      </c>
      <c r="D117">
        <v>88</v>
      </c>
      <c r="E117">
        <v>15</v>
      </c>
      <c r="F117">
        <v>4.8000000000000007</v>
      </c>
      <c r="G117">
        <f t="shared" si="2"/>
        <v>83.2</v>
      </c>
      <c r="H117" t="str">
        <f t="shared" si="3"/>
        <v>NO</v>
      </c>
    </row>
    <row r="118" spans="1:8" x14ac:dyDescent="0.25">
      <c r="A118" t="s">
        <v>46</v>
      </c>
      <c r="B118" t="s">
        <v>47</v>
      </c>
      <c r="C118" t="s">
        <v>11</v>
      </c>
      <c r="D118">
        <v>155</v>
      </c>
      <c r="E118">
        <v>15</v>
      </c>
      <c r="F118">
        <v>4.8000000000000007</v>
      </c>
      <c r="G118">
        <f t="shared" si="2"/>
        <v>150.19999999999999</v>
      </c>
      <c r="H118" t="str">
        <f t="shared" si="3"/>
        <v>NO</v>
      </c>
    </row>
    <row r="119" spans="1:8" x14ac:dyDescent="0.25">
      <c r="A119" t="s">
        <v>46</v>
      </c>
      <c r="B119" t="s">
        <v>47</v>
      </c>
      <c r="C119" t="s">
        <v>12</v>
      </c>
      <c r="D119">
        <v>-1</v>
      </c>
      <c r="E119">
        <v>15</v>
      </c>
      <c r="F119">
        <v>5.4</v>
      </c>
      <c r="G119">
        <f t="shared" si="2"/>
        <v>6.4</v>
      </c>
      <c r="H119" t="str">
        <f t="shared" si="3"/>
        <v>SI</v>
      </c>
    </row>
    <row r="120" spans="1:8" x14ac:dyDescent="0.25">
      <c r="A120" t="s">
        <v>46</v>
      </c>
      <c r="B120" t="s">
        <v>47</v>
      </c>
      <c r="C120" t="s">
        <v>13</v>
      </c>
      <c r="D120">
        <v>145</v>
      </c>
      <c r="E120">
        <v>15</v>
      </c>
      <c r="F120">
        <v>5.4</v>
      </c>
      <c r="G120">
        <f t="shared" si="2"/>
        <v>139.6</v>
      </c>
      <c r="H120" t="str">
        <f t="shared" si="3"/>
        <v>NO</v>
      </c>
    </row>
    <row r="121" spans="1:8" x14ac:dyDescent="0.25">
      <c r="A121" t="s">
        <v>46</v>
      </c>
      <c r="B121" t="s">
        <v>47</v>
      </c>
      <c r="C121" t="s">
        <v>14</v>
      </c>
      <c r="D121">
        <v>144</v>
      </c>
      <c r="E121">
        <v>15</v>
      </c>
      <c r="F121">
        <v>4.8000000000000007</v>
      </c>
      <c r="G121">
        <f t="shared" si="2"/>
        <v>139.19999999999999</v>
      </c>
      <c r="H121" t="str">
        <f t="shared" si="3"/>
        <v>NO</v>
      </c>
    </row>
    <row r="122" spans="1:8" x14ac:dyDescent="0.25">
      <c r="A122" t="s">
        <v>46</v>
      </c>
      <c r="B122" t="s">
        <v>20</v>
      </c>
      <c r="C122" t="s">
        <v>8</v>
      </c>
      <c r="D122">
        <v>0</v>
      </c>
      <c r="E122">
        <v>15</v>
      </c>
      <c r="F122">
        <v>6</v>
      </c>
      <c r="G122">
        <f t="shared" si="2"/>
        <v>6</v>
      </c>
      <c r="H122" t="str">
        <f t="shared" si="3"/>
        <v>SI</v>
      </c>
    </row>
    <row r="123" spans="1:8" x14ac:dyDescent="0.25">
      <c r="A123" t="s">
        <v>46</v>
      </c>
      <c r="B123" t="s">
        <v>20</v>
      </c>
      <c r="C123" t="s">
        <v>9</v>
      </c>
      <c r="D123">
        <v>13</v>
      </c>
      <c r="E123">
        <v>15</v>
      </c>
      <c r="F123">
        <v>73.3</v>
      </c>
      <c r="G123">
        <f t="shared" si="2"/>
        <v>60.3</v>
      </c>
      <c r="H123" t="str">
        <f t="shared" si="3"/>
        <v>NO</v>
      </c>
    </row>
    <row r="124" spans="1:8" x14ac:dyDescent="0.25">
      <c r="A124" t="s">
        <v>46</v>
      </c>
      <c r="B124" t="s">
        <v>20</v>
      </c>
      <c r="C124" t="s">
        <v>10</v>
      </c>
      <c r="D124">
        <v>21</v>
      </c>
      <c r="E124">
        <v>15</v>
      </c>
      <c r="F124">
        <v>70.7</v>
      </c>
      <c r="G124">
        <f t="shared" si="2"/>
        <v>49.7</v>
      </c>
      <c r="H124" t="str">
        <f t="shared" si="3"/>
        <v>NO</v>
      </c>
    </row>
    <row r="125" spans="1:8" x14ac:dyDescent="0.25">
      <c r="A125" t="s">
        <v>46</v>
      </c>
      <c r="B125" t="s">
        <v>20</v>
      </c>
      <c r="C125" t="s">
        <v>11</v>
      </c>
      <c r="D125">
        <v>41</v>
      </c>
      <c r="E125">
        <v>15</v>
      </c>
      <c r="F125">
        <v>95.100000000000009</v>
      </c>
      <c r="G125">
        <f t="shared" si="2"/>
        <v>54.100000000000009</v>
      </c>
      <c r="H125" t="str">
        <f t="shared" si="3"/>
        <v>NO</v>
      </c>
    </row>
    <row r="126" spans="1:8" x14ac:dyDescent="0.25">
      <c r="A126" t="s">
        <v>46</v>
      </c>
      <c r="B126" t="s">
        <v>20</v>
      </c>
      <c r="C126" t="s">
        <v>12</v>
      </c>
      <c r="D126">
        <v>57</v>
      </c>
      <c r="E126">
        <v>15</v>
      </c>
      <c r="F126">
        <v>4.2</v>
      </c>
      <c r="G126">
        <f t="shared" si="2"/>
        <v>52.8</v>
      </c>
      <c r="H126" t="str">
        <f t="shared" si="3"/>
        <v>NO</v>
      </c>
    </row>
    <row r="127" spans="1:8" x14ac:dyDescent="0.25">
      <c r="A127" t="s">
        <v>46</v>
      </c>
      <c r="B127" t="s">
        <v>20</v>
      </c>
      <c r="C127" t="s">
        <v>13</v>
      </c>
      <c r="D127">
        <v>60</v>
      </c>
      <c r="E127">
        <v>15</v>
      </c>
      <c r="F127">
        <v>73.3</v>
      </c>
      <c r="G127">
        <f t="shared" si="2"/>
        <v>13.299999999999997</v>
      </c>
      <c r="H127" t="str">
        <f t="shared" si="3"/>
        <v>SI</v>
      </c>
    </row>
    <row r="128" spans="1:8" x14ac:dyDescent="0.25">
      <c r="A128" t="s">
        <v>46</v>
      </c>
      <c r="B128" t="s">
        <v>20</v>
      </c>
      <c r="C128" t="s">
        <v>14</v>
      </c>
      <c r="D128">
        <v>75</v>
      </c>
      <c r="E128">
        <v>15</v>
      </c>
      <c r="F128">
        <v>70.7</v>
      </c>
      <c r="G128">
        <f t="shared" si="2"/>
        <v>4.2999999999999972</v>
      </c>
      <c r="H128" t="str">
        <f t="shared" si="3"/>
        <v>SI</v>
      </c>
    </row>
    <row r="129" spans="1:8" x14ac:dyDescent="0.25">
      <c r="A129" t="s">
        <v>46</v>
      </c>
      <c r="B129" t="s">
        <v>20</v>
      </c>
      <c r="C129" t="s">
        <v>15</v>
      </c>
      <c r="D129">
        <v>91</v>
      </c>
      <c r="E129">
        <v>15</v>
      </c>
      <c r="F129">
        <v>51.1</v>
      </c>
      <c r="G129">
        <f t="shared" si="2"/>
        <v>39.9</v>
      </c>
      <c r="H129" t="str">
        <f t="shared" si="3"/>
        <v>NO</v>
      </c>
    </row>
    <row r="130" spans="1:8" x14ac:dyDescent="0.25">
      <c r="A130" t="s">
        <v>46</v>
      </c>
      <c r="B130" t="s">
        <v>20</v>
      </c>
      <c r="C130" t="s">
        <v>16</v>
      </c>
      <c r="D130">
        <v>-1</v>
      </c>
      <c r="E130">
        <v>15</v>
      </c>
      <c r="F130">
        <v>63.7</v>
      </c>
      <c r="G130">
        <f t="shared" si="2"/>
        <v>64.7</v>
      </c>
      <c r="H130" t="str">
        <f t="shared" si="3"/>
        <v>NO</v>
      </c>
    </row>
    <row r="131" spans="1:8" x14ac:dyDescent="0.25">
      <c r="A131" t="s">
        <v>46</v>
      </c>
      <c r="B131" t="s">
        <v>20</v>
      </c>
      <c r="C131" t="s">
        <v>17</v>
      </c>
      <c r="D131">
        <v>-1</v>
      </c>
      <c r="E131">
        <v>15</v>
      </c>
      <c r="F131">
        <v>3.8</v>
      </c>
      <c r="G131">
        <f t="shared" ref="G131:G194" si="4">ABS(D131-F131)</f>
        <v>4.8</v>
      </c>
      <c r="H131" t="str">
        <f t="shared" ref="H131:H194" si="5">IF(G131&lt;=15,"SI","NO")</f>
        <v>SI</v>
      </c>
    </row>
    <row r="132" spans="1:8" x14ac:dyDescent="0.25">
      <c r="A132" t="s">
        <v>46</v>
      </c>
      <c r="B132" t="s">
        <v>20</v>
      </c>
      <c r="C132" t="s">
        <v>18</v>
      </c>
      <c r="D132">
        <v>137</v>
      </c>
      <c r="E132">
        <v>15</v>
      </c>
      <c r="F132">
        <v>3.8</v>
      </c>
      <c r="G132">
        <f t="shared" si="4"/>
        <v>133.19999999999999</v>
      </c>
      <c r="H132" t="str">
        <f t="shared" si="5"/>
        <v>NO</v>
      </c>
    </row>
    <row r="133" spans="1:8" x14ac:dyDescent="0.25">
      <c r="A133" t="s">
        <v>46</v>
      </c>
      <c r="B133" t="s">
        <v>20</v>
      </c>
      <c r="C133" t="s">
        <v>19</v>
      </c>
      <c r="D133">
        <v>145</v>
      </c>
      <c r="E133">
        <v>15</v>
      </c>
      <c r="F133">
        <v>154.1</v>
      </c>
      <c r="G133">
        <f t="shared" si="4"/>
        <v>9.0999999999999943</v>
      </c>
      <c r="H133" t="str">
        <f t="shared" si="5"/>
        <v>SI</v>
      </c>
    </row>
    <row r="134" spans="1:8" x14ac:dyDescent="0.25">
      <c r="A134" t="s">
        <v>46</v>
      </c>
      <c r="B134" t="s">
        <v>20</v>
      </c>
      <c r="C134" t="s">
        <v>22</v>
      </c>
      <c r="D134">
        <v>158</v>
      </c>
      <c r="E134">
        <v>15</v>
      </c>
      <c r="F134">
        <v>156.80000000000001</v>
      </c>
      <c r="G134">
        <f t="shared" si="4"/>
        <v>1.1999999999999886</v>
      </c>
      <c r="H134" t="str">
        <f t="shared" si="5"/>
        <v>SI</v>
      </c>
    </row>
    <row r="135" spans="1:8" x14ac:dyDescent="0.25">
      <c r="A135" t="s">
        <v>46</v>
      </c>
      <c r="B135" t="s">
        <v>20</v>
      </c>
      <c r="C135" t="s">
        <v>23</v>
      </c>
      <c r="D135">
        <v>158</v>
      </c>
      <c r="E135">
        <v>15</v>
      </c>
      <c r="F135">
        <v>1.7</v>
      </c>
      <c r="G135">
        <f t="shared" si="4"/>
        <v>156.30000000000001</v>
      </c>
      <c r="H135" t="str">
        <f t="shared" si="5"/>
        <v>NO</v>
      </c>
    </row>
    <row r="136" spans="1:8" x14ac:dyDescent="0.25">
      <c r="A136" t="s">
        <v>48</v>
      </c>
      <c r="B136" t="s">
        <v>47</v>
      </c>
      <c r="C136" t="s">
        <v>8</v>
      </c>
      <c r="D136">
        <v>74</v>
      </c>
      <c r="E136">
        <v>15</v>
      </c>
      <c r="F136">
        <v>258.2</v>
      </c>
      <c r="G136">
        <f t="shared" si="4"/>
        <v>184.2</v>
      </c>
      <c r="H136" t="str">
        <f t="shared" si="5"/>
        <v>NO</v>
      </c>
    </row>
    <row r="137" spans="1:8" x14ac:dyDescent="0.25">
      <c r="A137" t="s">
        <v>48</v>
      </c>
      <c r="B137" t="s">
        <v>47</v>
      </c>
      <c r="C137" t="s">
        <v>9</v>
      </c>
      <c r="D137">
        <v>89</v>
      </c>
      <c r="E137">
        <v>15</v>
      </c>
      <c r="F137">
        <v>206.6</v>
      </c>
      <c r="G137">
        <f t="shared" si="4"/>
        <v>117.6</v>
      </c>
      <c r="H137" t="str">
        <f t="shared" si="5"/>
        <v>NO</v>
      </c>
    </row>
    <row r="138" spans="1:8" x14ac:dyDescent="0.25">
      <c r="A138" t="s">
        <v>48</v>
      </c>
      <c r="B138" t="s">
        <v>47</v>
      </c>
      <c r="C138" t="s">
        <v>10</v>
      </c>
      <c r="D138">
        <v>105</v>
      </c>
      <c r="E138">
        <v>15</v>
      </c>
      <c r="F138">
        <v>226.5</v>
      </c>
      <c r="G138">
        <f t="shared" si="4"/>
        <v>121.5</v>
      </c>
      <c r="H138" t="str">
        <f t="shared" si="5"/>
        <v>NO</v>
      </c>
    </row>
    <row r="139" spans="1:8" x14ac:dyDescent="0.25">
      <c r="A139" t="s">
        <v>48</v>
      </c>
      <c r="B139" t="s">
        <v>47</v>
      </c>
      <c r="C139" t="s">
        <v>11</v>
      </c>
      <c r="D139">
        <v>120</v>
      </c>
      <c r="E139">
        <v>4</v>
      </c>
      <c r="F139">
        <v>269.8</v>
      </c>
      <c r="G139">
        <f t="shared" si="4"/>
        <v>149.80000000000001</v>
      </c>
      <c r="H139" t="str">
        <f t="shared" si="5"/>
        <v>NO</v>
      </c>
    </row>
    <row r="140" spans="1:8" x14ac:dyDescent="0.25">
      <c r="A140" t="s">
        <v>48</v>
      </c>
      <c r="B140" t="s">
        <v>20</v>
      </c>
      <c r="C140" t="s">
        <v>8</v>
      </c>
      <c r="D140">
        <v>0</v>
      </c>
      <c r="E140">
        <v>15</v>
      </c>
      <c r="F140">
        <v>119</v>
      </c>
      <c r="G140">
        <f t="shared" si="4"/>
        <v>119</v>
      </c>
      <c r="H140" t="str">
        <f t="shared" si="5"/>
        <v>NO</v>
      </c>
    </row>
    <row r="141" spans="1:8" x14ac:dyDescent="0.25">
      <c r="A141" t="s">
        <v>48</v>
      </c>
      <c r="B141" t="s">
        <v>20</v>
      </c>
      <c r="C141" t="s">
        <v>9</v>
      </c>
      <c r="D141">
        <v>13</v>
      </c>
      <c r="E141">
        <v>15</v>
      </c>
      <c r="F141">
        <v>20.7</v>
      </c>
      <c r="G141">
        <f t="shared" si="4"/>
        <v>7.6999999999999993</v>
      </c>
      <c r="H141" t="str">
        <f t="shared" si="5"/>
        <v>SI</v>
      </c>
    </row>
    <row r="142" spans="1:8" x14ac:dyDescent="0.25">
      <c r="A142" t="s">
        <v>48</v>
      </c>
      <c r="B142" t="s">
        <v>20</v>
      </c>
      <c r="C142" t="s">
        <v>10</v>
      </c>
      <c r="D142">
        <v>28</v>
      </c>
      <c r="E142">
        <v>15</v>
      </c>
      <c r="F142">
        <v>20.7</v>
      </c>
      <c r="G142">
        <f t="shared" si="4"/>
        <v>7.3000000000000007</v>
      </c>
      <c r="H142" t="str">
        <f t="shared" si="5"/>
        <v>SI</v>
      </c>
    </row>
    <row r="143" spans="1:8" x14ac:dyDescent="0.25">
      <c r="A143" t="s">
        <v>48</v>
      </c>
      <c r="B143" t="s">
        <v>20</v>
      </c>
      <c r="C143" t="s">
        <v>11</v>
      </c>
      <c r="D143">
        <v>43</v>
      </c>
      <c r="E143">
        <v>15</v>
      </c>
      <c r="F143">
        <v>243.1</v>
      </c>
      <c r="G143">
        <f t="shared" si="4"/>
        <v>200.1</v>
      </c>
      <c r="H143" t="str">
        <f t="shared" si="5"/>
        <v>NO</v>
      </c>
    </row>
    <row r="144" spans="1:8" x14ac:dyDescent="0.25">
      <c r="A144" t="s">
        <v>48</v>
      </c>
      <c r="B144" t="s">
        <v>20</v>
      </c>
      <c r="C144" t="s">
        <v>12</v>
      </c>
      <c r="D144">
        <v>57</v>
      </c>
      <c r="E144">
        <v>15</v>
      </c>
      <c r="F144">
        <v>243</v>
      </c>
      <c r="G144">
        <f t="shared" si="4"/>
        <v>186</v>
      </c>
      <c r="H144" t="str">
        <f t="shared" si="5"/>
        <v>NO</v>
      </c>
    </row>
    <row r="145" spans="1:8" x14ac:dyDescent="0.25">
      <c r="A145" t="s">
        <v>48</v>
      </c>
      <c r="B145" t="s">
        <v>20</v>
      </c>
      <c r="C145" t="s">
        <v>13</v>
      </c>
      <c r="D145">
        <v>69</v>
      </c>
      <c r="E145">
        <v>15</v>
      </c>
      <c r="F145">
        <v>243</v>
      </c>
      <c r="G145">
        <f t="shared" si="4"/>
        <v>174</v>
      </c>
      <c r="H145" t="str">
        <f t="shared" si="5"/>
        <v>NO</v>
      </c>
    </row>
    <row r="146" spans="1:8" x14ac:dyDescent="0.25">
      <c r="A146" t="s">
        <v>48</v>
      </c>
      <c r="B146" t="s">
        <v>20</v>
      </c>
      <c r="C146" t="s">
        <v>14</v>
      </c>
      <c r="D146">
        <v>89</v>
      </c>
      <c r="E146">
        <v>15</v>
      </c>
      <c r="F146">
        <v>243.4</v>
      </c>
      <c r="G146">
        <f t="shared" si="4"/>
        <v>154.4</v>
      </c>
      <c r="H146" t="str">
        <f t="shared" si="5"/>
        <v>NO</v>
      </c>
    </row>
    <row r="147" spans="1:8" x14ac:dyDescent="0.25">
      <c r="A147" t="s">
        <v>48</v>
      </c>
      <c r="B147" t="s">
        <v>20</v>
      </c>
      <c r="C147" t="s">
        <v>15</v>
      </c>
      <c r="D147">
        <v>104</v>
      </c>
      <c r="E147">
        <v>15</v>
      </c>
      <c r="F147">
        <v>20.7</v>
      </c>
      <c r="G147">
        <f t="shared" si="4"/>
        <v>83.3</v>
      </c>
      <c r="H147" t="str">
        <f t="shared" si="5"/>
        <v>NO</v>
      </c>
    </row>
    <row r="148" spans="1:8" x14ac:dyDescent="0.25">
      <c r="A148" t="s">
        <v>48</v>
      </c>
      <c r="B148" t="s">
        <v>20</v>
      </c>
      <c r="C148" t="s">
        <v>16</v>
      </c>
      <c r="D148">
        <v>122</v>
      </c>
      <c r="E148">
        <v>15</v>
      </c>
      <c r="F148">
        <v>243</v>
      </c>
      <c r="G148">
        <f t="shared" si="4"/>
        <v>121</v>
      </c>
      <c r="H148" t="str">
        <f t="shared" si="5"/>
        <v>NO</v>
      </c>
    </row>
    <row r="149" spans="1:8" x14ac:dyDescent="0.25">
      <c r="A149" t="s">
        <v>48</v>
      </c>
      <c r="B149" t="s">
        <v>20</v>
      </c>
      <c r="C149" t="s">
        <v>17</v>
      </c>
      <c r="D149">
        <v>136</v>
      </c>
      <c r="E149">
        <v>15</v>
      </c>
      <c r="F149">
        <v>243.3</v>
      </c>
      <c r="G149">
        <f t="shared" si="4"/>
        <v>107.30000000000001</v>
      </c>
      <c r="H149" t="str">
        <f t="shared" si="5"/>
        <v>NO</v>
      </c>
    </row>
    <row r="150" spans="1:8" x14ac:dyDescent="0.25">
      <c r="A150" t="s">
        <v>48</v>
      </c>
      <c r="B150" t="s">
        <v>20</v>
      </c>
      <c r="C150" t="s">
        <v>18</v>
      </c>
      <c r="D150">
        <v>151</v>
      </c>
      <c r="E150">
        <v>15</v>
      </c>
      <c r="F150">
        <v>243.4</v>
      </c>
      <c r="G150">
        <f t="shared" si="4"/>
        <v>92.4</v>
      </c>
      <c r="H150" t="str">
        <f t="shared" si="5"/>
        <v>NO</v>
      </c>
    </row>
    <row r="151" spans="1:8" x14ac:dyDescent="0.25">
      <c r="A151" t="s">
        <v>48</v>
      </c>
      <c r="B151" t="s">
        <v>20</v>
      </c>
      <c r="C151" t="s">
        <v>19</v>
      </c>
      <c r="D151">
        <v>168</v>
      </c>
      <c r="E151">
        <v>15</v>
      </c>
      <c r="F151">
        <v>243.1</v>
      </c>
      <c r="G151">
        <f t="shared" si="4"/>
        <v>75.099999999999994</v>
      </c>
      <c r="H151" t="str">
        <f t="shared" si="5"/>
        <v>NO</v>
      </c>
    </row>
    <row r="152" spans="1:8" x14ac:dyDescent="0.25">
      <c r="A152" t="s">
        <v>48</v>
      </c>
      <c r="B152" t="s">
        <v>20</v>
      </c>
      <c r="C152" t="s">
        <v>22</v>
      </c>
      <c r="D152">
        <v>184</v>
      </c>
      <c r="E152">
        <v>15</v>
      </c>
      <c r="F152">
        <v>243.4</v>
      </c>
      <c r="G152">
        <f t="shared" si="4"/>
        <v>59.400000000000006</v>
      </c>
      <c r="H152" t="str">
        <f t="shared" si="5"/>
        <v>NO</v>
      </c>
    </row>
    <row r="153" spans="1:8" x14ac:dyDescent="0.25">
      <c r="A153" t="s">
        <v>48</v>
      </c>
      <c r="B153" t="s">
        <v>20</v>
      </c>
      <c r="C153" t="s">
        <v>23</v>
      </c>
      <c r="D153">
        <v>195</v>
      </c>
      <c r="E153">
        <v>15</v>
      </c>
      <c r="F153">
        <v>20.7</v>
      </c>
      <c r="G153">
        <f t="shared" si="4"/>
        <v>174.3</v>
      </c>
      <c r="H153" t="str">
        <f t="shared" si="5"/>
        <v>NO</v>
      </c>
    </row>
    <row r="154" spans="1:8" x14ac:dyDescent="0.25">
      <c r="A154" t="s">
        <v>48</v>
      </c>
      <c r="B154" t="s">
        <v>20</v>
      </c>
      <c r="C154" t="s">
        <v>24</v>
      </c>
      <c r="D154">
        <v>217</v>
      </c>
      <c r="E154">
        <v>15</v>
      </c>
      <c r="F154">
        <v>243</v>
      </c>
      <c r="G154">
        <f t="shared" si="4"/>
        <v>26</v>
      </c>
      <c r="H154" t="str">
        <f t="shared" si="5"/>
        <v>NO</v>
      </c>
    </row>
    <row r="155" spans="1:8" x14ac:dyDescent="0.25">
      <c r="A155" t="s">
        <v>48</v>
      </c>
      <c r="B155" t="s">
        <v>20</v>
      </c>
      <c r="C155" t="s">
        <v>25</v>
      </c>
      <c r="D155">
        <v>217</v>
      </c>
      <c r="E155">
        <v>15</v>
      </c>
      <c r="F155">
        <v>243</v>
      </c>
      <c r="G155">
        <f t="shared" si="4"/>
        <v>26</v>
      </c>
      <c r="H155" t="str">
        <f t="shared" si="5"/>
        <v>NO</v>
      </c>
    </row>
    <row r="156" spans="1:8" x14ac:dyDescent="0.25">
      <c r="A156" t="s">
        <v>48</v>
      </c>
      <c r="B156" t="s">
        <v>20</v>
      </c>
      <c r="C156" t="s">
        <v>28</v>
      </c>
      <c r="D156">
        <v>230</v>
      </c>
      <c r="E156">
        <v>15</v>
      </c>
      <c r="F156">
        <v>243</v>
      </c>
      <c r="G156">
        <f t="shared" si="4"/>
        <v>13</v>
      </c>
      <c r="H156" t="str">
        <f t="shared" si="5"/>
        <v>SI</v>
      </c>
    </row>
    <row r="157" spans="1:8" x14ac:dyDescent="0.25">
      <c r="A157" t="s">
        <v>48</v>
      </c>
      <c r="B157" t="s">
        <v>20</v>
      </c>
      <c r="C157" t="s">
        <v>29</v>
      </c>
      <c r="D157">
        <v>221</v>
      </c>
      <c r="E157">
        <v>15</v>
      </c>
      <c r="F157">
        <v>119</v>
      </c>
      <c r="G157">
        <f t="shared" si="4"/>
        <v>102</v>
      </c>
      <c r="H157" t="str">
        <f t="shared" si="5"/>
        <v>NO</v>
      </c>
    </row>
    <row r="158" spans="1:8" x14ac:dyDescent="0.25">
      <c r="A158" t="s">
        <v>48</v>
      </c>
      <c r="B158" t="s">
        <v>20</v>
      </c>
      <c r="C158" t="s">
        <v>30</v>
      </c>
      <c r="D158">
        <v>-1</v>
      </c>
      <c r="E158">
        <v>15</v>
      </c>
      <c r="F158">
        <v>227.2</v>
      </c>
      <c r="G158">
        <f t="shared" si="4"/>
        <v>228.2</v>
      </c>
      <c r="H158" t="str">
        <f t="shared" si="5"/>
        <v>NO</v>
      </c>
    </row>
    <row r="159" spans="1:8" x14ac:dyDescent="0.25">
      <c r="A159" t="s">
        <v>48</v>
      </c>
      <c r="B159" t="s">
        <v>20</v>
      </c>
      <c r="C159" t="s">
        <v>31</v>
      </c>
      <c r="D159">
        <v>256</v>
      </c>
      <c r="E159">
        <v>15</v>
      </c>
      <c r="F159">
        <v>227.2</v>
      </c>
      <c r="G159">
        <f t="shared" si="4"/>
        <v>28.800000000000011</v>
      </c>
      <c r="H159" t="str">
        <f t="shared" si="5"/>
        <v>NO</v>
      </c>
    </row>
    <row r="160" spans="1:8" x14ac:dyDescent="0.25">
      <c r="A160" t="s">
        <v>48</v>
      </c>
      <c r="B160" t="s">
        <v>20</v>
      </c>
      <c r="C160" t="s">
        <v>32</v>
      </c>
      <c r="D160">
        <v>-1</v>
      </c>
      <c r="E160">
        <v>15</v>
      </c>
      <c r="F160">
        <v>119</v>
      </c>
      <c r="G160">
        <f t="shared" si="4"/>
        <v>120</v>
      </c>
      <c r="H160" t="str">
        <f t="shared" si="5"/>
        <v>NO</v>
      </c>
    </row>
    <row r="161" spans="1:8" x14ac:dyDescent="0.25">
      <c r="A161" t="s">
        <v>48</v>
      </c>
      <c r="B161" t="s">
        <v>20</v>
      </c>
      <c r="C161" t="s">
        <v>33</v>
      </c>
      <c r="D161">
        <v>-1</v>
      </c>
      <c r="E161">
        <v>15</v>
      </c>
      <c r="F161">
        <v>119</v>
      </c>
      <c r="G161">
        <f t="shared" si="4"/>
        <v>120</v>
      </c>
      <c r="H161" t="str">
        <f t="shared" si="5"/>
        <v>NO</v>
      </c>
    </row>
    <row r="162" spans="1:8" x14ac:dyDescent="0.25">
      <c r="A162" t="s">
        <v>49</v>
      </c>
      <c r="B162" t="s">
        <v>47</v>
      </c>
      <c r="C162" t="s">
        <v>8</v>
      </c>
      <c r="D162">
        <v>14</v>
      </c>
      <c r="E162">
        <v>15</v>
      </c>
      <c r="F162">
        <v>130.80000000000001</v>
      </c>
      <c r="G162">
        <f t="shared" si="4"/>
        <v>116.80000000000001</v>
      </c>
      <c r="H162" t="str">
        <f t="shared" si="5"/>
        <v>NO</v>
      </c>
    </row>
    <row r="163" spans="1:8" x14ac:dyDescent="0.25">
      <c r="A163" t="s">
        <v>49</v>
      </c>
      <c r="B163" t="s">
        <v>47</v>
      </c>
      <c r="C163" t="s">
        <v>9</v>
      </c>
      <c r="D163">
        <v>31</v>
      </c>
      <c r="E163">
        <v>15</v>
      </c>
      <c r="F163">
        <v>130.6</v>
      </c>
      <c r="G163">
        <f t="shared" si="4"/>
        <v>99.6</v>
      </c>
      <c r="H163" t="str">
        <f t="shared" si="5"/>
        <v>NO</v>
      </c>
    </row>
    <row r="164" spans="1:8" x14ac:dyDescent="0.25">
      <c r="A164" t="s">
        <v>49</v>
      </c>
      <c r="B164" t="s">
        <v>47</v>
      </c>
      <c r="C164" t="s">
        <v>10</v>
      </c>
      <c r="D164">
        <v>46</v>
      </c>
      <c r="E164">
        <v>15</v>
      </c>
      <c r="F164">
        <v>130.80000000000001</v>
      </c>
      <c r="G164">
        <f t="shared" si="4"/>
        <v>84.800000000000011</v>
      </c>
      <c r="H164" t="str">
        <f t="shared" si="5"/>
        <v>NO</v>
      </c>
    </row>
    <row r="165" spans="1:8" x14ac:dyDescent="0.25">
      <c r="A165" t="s">
        <v>49</v>
      </c>
      <c r="B165" t="s">
        <v>47</v>
      </c>
      <c r="C165" t="s">
        <v>11</v>
      </c>
      <c r="D165">
        <v>60</v>
      </c>
      <c r="E165">
        <v>15</v>
      </c>
      <c r="F165">
        <v>130.80000000000001</v>
      </c>
      <c r="G165">
        <f t="shared" si="4"/>
        <v>70.800000000000011</v>
      </c>
      <c r="H165" t="str">
        <f t="shared" si="5"/>
        <v>NO</v>
      </c>
    </row>
    <row r="166" spans="1:8" x14ac:dyDescent="0.25">
      <c r="A166" t="s">
        <v>49</v>
      </c>
      <c r="B166" t="s">
        <v>47</v>
      </c>
      <c r="C166" t="s">
        <v>12</v>
      </c>
      <c r="D166">
        <v>75</v>
      </c>
      <c r="E166">
        <v>15</v>
      </c>
      <c r="F166">
        <v>130.80000000000001</v>
      </c>
      <c r="G166">
        <f t="shared" si="4"/>
        <v>55.800000000000011</v>
      </c>
      <c r="H166" t="str">
        <f t="shared" si="5"/>
        <v>NO</v>
      </c>
    </row>
    <row r="167" spans="1:8" x14ac:dyDescent="0.25">
      <c r="A167" t="s">
        <v>49</v>
      </c>
      <c r="B167" t="s">
        <v>47</v>
      </c>
      <c r="C167" t="s">
        <v>13</v>
      </c>
      <c r="D167">
        <v>91</v>
      </c>
      <c r="E167">
        <v>14</v>
      </c>
      <c r="F167">
        <v>130.80000000000001</v>
      </c>
      <c r="G167">
        <f t="shared" si="4"/>
        <v>39.800000000000011</v>
      </c>
      <c r="H167" t="str">
        <f t="shared" si="5"/>
        <v>NO</v>
      </c>
    </row>
    <row r="168" spans="1:8" x14ac:dyDescent="0.25">
      <c r="A168" t="s">
        <v>49</v>
      </c>
      <c r="B168" t="s">
        <v>47</v>
      </c>
      <c r="C168" t="s">
        <v>14</v>
      </c>
      <c r="D168">
        <v>227</v>
      </c>
      <c r="E168">
        <v>15</v>
      </c>
      <c r="F168">
        <v>130.80000000000001</v>
      </c>
      <c r="G168">
        <f t="shared" si="4"/>
        <v>96.199999999999989</v>
      </c>
      <c r="H168" t="str">
        <f t="shared" si="5"/>
        <v>NO</v>
      </c>
    </row>
    <row r="169" spans="1:8" x14ac:dyDescent="0.25">
      <c r="A169" t="s">
        <v>49</v>
      </c>
      <c r="B169" t="s">
        <v>47</v>
      </c>
      <c r="C169" t="s">
        <v>15</v>
      </c>
      <c r="D169">
        <v>243</v>
      </c>
      <c r="E169">
        <v>15</v>
      </c>
      <c r="F169">
        <v>130.80000000000001</v>
      </c>
      <c r="G169">
        <f t="shared" si="4"/>
        <v>112.19999999999999</v>
      </c>
      <c r="H169" t="str">
        <f t="shared" si="5"/>
        <v>NO</v>
      </c>
    </row>
    <row r="170" spans="1:8" x14ac:dyDescent="0.25">
      <c r="A170" t="s">
        <v>49</v>
      </c>
      <c r="B170" t="s">
        <v>47</v>
      </c>
      <c r="C170" t="s">
        <v>16</v>
      </c>
      <c r="D170">
        <v>271</v>
      </c>
      <c r="E170">
        <v>15</v>
      </c>
      <c r="F170">
        <v>130.80000000000001</v>
      </c>
      <c r="G170">
        <f t="shared" si="4"/>
        <v>140.19999999999999</v>
      </c>
      <c r="H170" t="str">
        <f t="shared" si="5"/>
        <v>NO</v>
      </c>
    </row>
    <row r="171" spans="1:8" x14ac:dyDescent="0.25">
      <c r="A171" t="s">
        <v>49</v>
      </c>
      <c r="B171" t="s">
        <v>47</v>
      </c>
      <c r="C171" t="s">
        <v>17</v>
      </c>
      <c r="D171">
        <v>285</v>
      </c>
      <c r="E171">
        <v>15</v>
      </c>
      <c r="F171">
        <v>130.80000000000001</v>
      </c>
      <c r="G171">
        <f t="shared" si="4"/>
        <v>154.19999999999999</v>
      </c>
      <c r="H171" t="str">
        <f t="shared" si="5"/>
        <v>NO</v>
      </c>
    </row>
    <row r="172" spans="1:8" x14ac:dyDescent="0.25">
      <c r="A172" t="s">
        <v>49</v>
      </c>
      <c r="B172" t="s">
        <v>20</v>
      </c>
      <c r="C172" t="s">
        <v>8</v>
      </c>
      <c r="D172">
        <v>0</v>
      </c>
      <c r="E172">
        <v>9</v>
      </c>
      <c r="F172">
        <v>269.8</v>
      </c>
      <c r="G172">
        <f t="shared" si="4"/>
        <v>269.8</v>
      </c>
      <c r="H172" t="str">
        <f t="shared" si="5"/>
        <v>NO</v>
      </c>
    </row>
    <row r="173" spans="1:8" x14ac:dyDescent="0.25">
      <c r="A173" t="s">
        <v>49</v>
      </c>
      <c r="B173" t="s">
        <v>20</v>
      </c>
      <c r="C173" t="s">
        <v>9</v>
      </c>
      <c r="D173">
        <v>0</v>
      </c>
      <c r="E173">
        <v>15</v>
      </c>
      <c r="F173">
        <v>271</v>
      </c>
      <c r="G173">
        <f t="shared" si="4"/>
        <v>271</v>
      </c>
      <c r="H173" t="str">
        <f t="shared" si="5"/>
        <v>NO</v>
      </c>
    </row>
    <row r="174" spans="1:8" x14ac:dyDescent="0.25">
      <c r="A174" t="s">
        <v>49</v>
      </c>
      <c r="B174" t="s">
        <v>20</v>
      </c>
      <c r="C174" t="s">
        <v>10</v>
      </c>
      <c r="D174">
        <v>15</v>
      </c>
      <c r="E174">
        <v>15</v>
      </c>
      <c r="F174">
        <v>271</v>
      </c>
      <c r="G174">
        <f t="shared" si="4"/>
        <v>256</v>
      </c>
      <c r="H174" t="str">
        <f t="shared" si="5"/>
        <v>NO</v>
      </c>
    </row>
    <row r="175" spans="1:8" x14ac:dyDescent="0.25">
      <c r="A175" t="s">
        <v>49</v>
      </c>
      <c r="B175" t="s">
        <v>20</v>
      </c>
      <c r="C175" t="s">
        <v>11</v>
      </c>
      <c r="D175">
        <v>29</v>
      </c>
      <c r="E175">
        <v>15</v>
      </c>
      <c r="F175">
        <v>240.3</v>
      </c>
      <c r="G175">
        <f t="shared" si="4"/>
        <v>211.3</v>
      </c>
      <c r="H175" t="str">
        <f t="shared" si="5"/>
        <v>NO</v>
      </c>
    </row>
    <row r="176" spans="1:8" x14ac:dyDescent="0.25">
      <c r="A176" t="s">
        <v>49</v>
      </c>
      <c r="B176" t="s">
        <v>20</v>
      </c>
      <c r="C176" t="s">
        <v>12</v>
      </c>
      <c r="D176">
        <v>46</v>
      </c>
      <c r="E176">
        <v>15</v>
      </c>
      <c r="F176">
        <v>130.6</v>
      </c>
      <c r="G176">
        <f t="shared" si="4"/>
        <v>84.6</v>
      </c>
      <c r="H176" t="str">
        <f t="shared" si="5"/>
        <v>NO</v>
      </c>
    </row>
    <row r="177" spans="1:8" x14ac:dyDescent="0.25">
      <c r="A177" t="s">
        <v>49</v>
      </c>
      <c r="B177" t="s">
        <v>20</v>
      </c>
      <c r="C177" t="s">
        <v>13</v>
      </c>
      <c r="D177">
        <v>60</v>
      </c>
      <c r="E177">
        <v>15</v>
      </c>
      <c r="F177">
        <v>131</v>
      </c>
      <c r="G177">
        <f t="shared" si="4"/>
        <v>71</v>
      </c>
      <c r="H177" t="str">
        <f t="shared" si="5"/>
        <v>NO</v>
      </c>
    </row>
    <row r="178" spans="1:8" x14ac:dyDescent="0.25">
      <c r="A178" t="s">
        <v>49</v>
      </c>
      <c r="B178" t="s">
        <v>20</v>
      </c>
      <c r="C178" t="s">
        <v>14</v>
      </c>
      <c r="D178">
        <v>75</v>
      </c>
      <c r="E178">
        <v>15</v>
      </c>
      <c r="F178">
        <v>249.5</v>
      </c>
      <c r="G178">
        <f t="shared" si="4"/>
        <v>174.5</v>
      </c>
      <c r="H178" t="str">
        <f t="shared" si="5"/>
        <v>NO</v>
      </c>
    </row>
    <row r="179" spans="1:8" x14ac:dyDescent="0.25">
      <c r="A179" t="s">
        <v>49</v>
      </c>
      <c r="B179" t="s">
        <v>20</v>
      </c>
      <c r="C179" t="s">
        <v>15</v>
      </c>
      <c r="D179">
        <v>89</v>
      </c>
      <c r="E179">
        <v>15</v>
      </c>
      <c r="F179">
        <v>130.6</v>
      </c>
      <c r="G179">
        <f t="shared" si="4"/>
        <v>41.599999999999994</v>
      </c>
      <c r="H179" t="str">
        <f t="shared" si="5"/>
        <v>NO</v>
      </c>
    </row>
    <row r="180" spans="1:8" x14ac:dyDescent="0.25">
      <c r="A180" t="s">
        <v>49</v>
      </c>
      <c r="B180" t="s">
        <v>20</v>
      </c>
      <c r="C180" t="s">
        <v>16</v>
      </c>
      <c r="D180">
        <v>105</v>
      </c>
      <c r="E180">
        <v>15</v>
      </c>
      <c r="F180">
        <v>130.6</v>
      </c>
      <c r="G180">
        <f t="shared" si="4"/>
        <v>25.599999999999994</v>
      </c>
      <c r="H180" t="str">
        <f t="shared" si="5"/>
        <v>NO</v>
      </c>
    </row>
    <row r="181" spans="1:8" x14ac:dyDescent="0.25">
      <c r="A181" t="s">
        <v>49</v>
      </c>
      <c r="B181" t="s">
        <v>20</v>
      </c>
      <c r="C181" t="s">
        <v>17</v>
      </c>
      <c r="D181">
        <v>121</v>
      </c>
      <c r="E181">
        <v>15</v>
      </c>
      <c r="F181">
        <v>130.80000000000001</v>
      </c>
      <c r="G181">
        <f t="shared" si="4"/>
        <v>9.8000000000000114</v>
      </c>
      <c r="H181" t="str">
        <f t="shared" si="5"/>
        <v>SI</v>
      </c>
    </row>
    <row r="182" spans="1:8" x14ac:dyDescent="0.25">
      <c r="A182" t="s">
        <v>49</v>
      </c>
      <c r="B182" t="s">
        <v>20</v>
      </c>
      <c r="C182" t="s">
        <v>18</v>
      </c>
      <c r="D182">
        <v>165</v>
      </c>
      <c r="E182">
        <v>15</v>
      </c>
      <c r="F182">
        <v>240.3</v>
      </c>
      <c r="G182">
        <f t="shared" si="4"/>
        <v>75.300000000000011</v>
      </c>
      <c r="H182" t="str">
        <f t="shared" si="5"/>
        <v>NO</v>
      </c>
    </row>
    <row r="183" spans="1:8" x14ac:dyDescent="0.25">
      <c r="A183" t="s">
        <v>49</v>
      </c>
      <c r="B183" t="s">
        <v>20</v>
      </c>
      <c r="C183" t="s">
        <v>19</v>
      </c>
      <c r="D183">
        <v>180</v>
      </c>
      <c r="E183">
        <v>15</v>
      </c>
      <c r="F183">
        <v>240.3</v>
      </c>
      <c r="G183">
        <f t="shared" si="4"/>
        <v>60.300000000000011</v>
      </c>
      <c r="H183" t="str">
        <f t="shared" si="5"/>
        <v>NO</v>
      </c>
    </row>
    <row r="184" spans="1:8" x14ac:dyDescent="0.25">
      <c r="A184" t="s">
        <v>49</v>
      </c>
      <c r="B184" t="s">
        <v>20</v>
      </c>
      <c r="C184" t="s">
        <v>22</v>
      </c>
      <c r="D184">
        <v>194</v>
      </c>
      <c r="E184">
        <v>15</v>
      </c>
      <c r="F184">
        <v>269.8</v>
      </c>
      <c r="G184">
        <f t="shared" si="4"/>
        <v>75.800000000000011</v>
      </c>
      <c r="H184" t="str">
        <f t="shared" si="5"/>
        <v>NO</v>
      </c>
    </row>
    <row r="185" spans="1:8" x14ac:dyDescent="0.25">
      <c r="A185" t="s">
        <v>49</v>
      </c>
      <c r="B185" t="s">
        <v>20</v>
      </c>
      <c r="C185" t="s">
        <v>23</v>
      </c>
      <c r="D185">
        <v>210</v>
      </c>
      <c r="E185">
        <v>15</v>
      </c>
      <c r="F185">
        <v>271</v>
      </c>
      <c r="G185">
        <f t="shared" si="4"/>
        <v>61</v>
      </c>
      <c r="H185" t="str">
        <f t="shared" si="5"/>
        <v>NO</v>
      </c>
    </row>
    <row r="186" spans="1:8" x14ac:dyDescent="0.25">
      <c r="A186" t="s">
        <v>49</v>
      </c>
      <c r="B186" t="s">
        <v>20</v>
      </c>
      <c r="C186" t="s">
        <v>24</v>
      </c>
      <c r="D186">
        <v>226</v>
      </c>
      <c r="E186">
        <v>15</v>
      </c>
      <c r="F186">
        <v>271</v>
      </c>
      <c r="G186">
        <f t="shared" si="4"/>
        <v>45</v>
      </c>
      <c r="H186" t="str">
        <f t="shared" si="5"/>
        <v>NO</v>
      </c>
    </row>
    <row r="187" spans="1:8" x14ac:dyDescent="0.25">
      <c r="A187" t="s">
        <v>49</v>
      </c>
      <c r="B187" t="s">
        <v>20</v>
      </c>
      <c r="C187" t="s">
        <v>25</v>
      </c>
      <c r="D187">
        <v>240</v>
      </c>
      <c r="E187">
        <v>15</v>
      </c>
      <c r="F187">
        <v>271.5</v>
      </c>
      <c r="G187">
        <f t="shared" si="4"/>
        <v>31.5</v>
      </c>
      <c r="H187" t="str">
        <f t="shared" si="5"/>
        <v>NO</v>
      </c>
    </row>
    <row r="188" spans="1:8" x14ac:dyDescent="0.25">
      <c r="A188" t="s">
        <v>49</v>
      </c>
      <c r="B188" t="s">
        <v>20</v>
      </c>
      <c r="C188" t="s">
        <v>28</v>
      </c>
      <c r="D188">
        <v>254</v>
      </c>
      <c r="E188">
        <v>15</v>
      </c>
      <c r="F188">
        <v>306.39999999999998</v>
      </c>
      <c r="G188">
        <f t="shared" si="4"/>
        <v>52.399999999999977</v>
      </c>
      <c r="H188" t="str">
        <f t="shared" si="5"/>
        <v>NO</v>
      </c>
    </row>
    <row r="189" spans="1:8" x14ac:dyDescent="0.25">
      <c r="A189" t="s">
        <v>49</v>
      </c>
      <c r="B189" t="s">
        <v>20</v>
      </c>
      <c r="C189" t="s">
        <v>29</v>
      </c>
      <c r="D189">
        <v>283</v>
      </c>
      <c r="E189">
        <v>15</v>
      </c>
      <c r="F189">
        <v>306.39999999999998</v>
      </c>
      <c r="G189">
        <f t="shared" si="4"/>
        <v>23.399999999999977</v>
      </c>
      <c r="H189" t="str">
        <f t="shared" si="5"/>
        <v>NO</v>
      </c>
    </row>
    <row r="190" spans="1:8" x14ac:dyDescent="0.25">
      <c r="A190" t="s">
        <v>50</v>
      </c>
      <c r="B190" t="s">
        <v>51</v>
      </c>
      <c r="C190" t="s">
        <v>8</v>
      </c>
      <c r="D190">
        <v>62</v>
      </c>
      <c r="E190">
        <v>13</v>
      </c>
      <c r="F190">
        <v>129.9</v>
      </c>
      <c r="G190">
        <f t="shared" si="4"/>
        <v>67.900000000000006</v>
      </c>
      <c r="H190" t="str">
        <f t="shared" si="5"/>
        <v>NO</v>
      </c>
    </row>
    <row r="191" spans="1:8" x14ac:dyDescent="0.25">
      <c r="A191" t="s">
        <v>50</v>
      </c>
      <c r="B191" t="s">
        <v>20</v>
      </c>
      <c r="C191" t="s">
        <v>8</v>
      </c>
      <c r="D191">
        <v>7</v>
      </c>
      <c r="E191">
        <v>15</v>
      </c>
      <c r="F191">
        <v>76.3</v>
      </c>
      <c r="G191">
        <f t="shared" si="4"/>
        <v>69.3</v>
      </c>
      <c r="H191" t="str">
        <f t="shared" si="5"/>
        <v>NO</v>
      </c>
    </row>
    <row r="192" spans="1:8" x14ac:dyDescent="0.25">
      <c r="A192" t="s">
        <v>50</v>
      </c>
      <c r="B192" t="s">
        <v>20</v>
      </c>
      <c r="C192" t="s">
        <v>9</v>
      </c>
      <c r="D192">
        <v>22</v>
      </c>
      <c r="E192">
        <v>15</v>
      </c>
      <c r="F192">
        <v>137.4</v>
      </c>
      <c r="G192">
        <f t="shared" si="4"/>
        <v>115.4</v>
      </c>
      <c r="H192" t="str">
        <f t="shared" si="5"/>
        <v>NO</v>
      </c>
    </row>
    <row r="193" spans="1:8" x14ac:dyDescent="0.25">
      <c r="A193" t="s">
        <v>50</v>
      </c>
      <c r="B193" t="s">
        <v>20</v>
      </c>
      <c r="C193" t="s">
        <v>10</v>
      </c>
      <c r="D193">
        <v>39</v>
      </c>
      <c r="E193">
        <v>15</v>
      </c>
      <c r="F193">
        <v>133.5</v>
      </c>
      <c r="G193">
        <f t="shared" si="4"/>
        <v>94.5</v>
      </c>
      <c r="H193" t="str">
        <f t="shared" si="5"/>
        <v>NO</v>
      </c>
    </row>
    <row r="194" spans="1:8" x14ac:dyDescent="0.25">
      <c r="A194" t="s">
        <v>50</v>
      </c>
      <c r="B194" t="s">
        <v>20</v>
      </c>
      <c r="C194" t="s">
        <v>11</v>
      </c>
      <c r="D194">
        <v>53</v>
      </c>
      <c r="E194">
        <v>15</v>
      </c>
      <c r="F194">
        <v>15.4</v>
      </c>
      <c r="G194">
        <f t="shared" si="4"/>
        <v>37.6</v>
      </c>
      <c r="H194" t="str">
        <f t="shared" si="5"/>
        <v>NO</v>
      </c>
    </row>
    <row r="195" spans="1:8" x14ac:dyDescent="0.25">
      <c r="A195" t="s">
        <v>50</v>
      </c>
      <c r="B195" t="s">
        <v>20</v>
      </c>
      <c r="C195" t="s">
        <v>12</v>
      </c>
      <c r="D195">
        <v>69</v>
      </c>
      <c r="E195">
        <v>15</v>
      </c>
      <c r="F195">
        <v>127.9</v>
      </c>
      <c r="G195">
        <f t="shared" ref="G195:G213" si="6">ABS(D195-F195)</f>
        <v>58.900000000000006</v>
      </c>
      <c r="H195" t="str">
        <f t="shared" ref="H195:H213" si="7">IF(G195&lt;=15,"SI","NO")</f>
        <v>NO</v>
      </c>
    </row>
    <row r="196" spans="1:8" x14ac:dyDescent="0.25">
      <c r="A196" t="s">
        <v>50</v>
      </c>
      <c r="B196" t="s">
        <v>20</v>
      </c>
      <c r="C196" t="s">
        <v>13</v>
      </c>
      <c r="D196">
        <v>86</v>
      </c>
      <c r="E196">
        <v>15</v>
      </c>
      <c r="F196">
        <v>127.9</v>
      </c>
      <c r="G196">
        <f t="shared" si="6"/>
        <v>41.900000000000006</v>
      </c>
      <c r="H196" t="str">
        <f t="shared" si="7"/>
        <v>NO</v>
      </c>
    </row>
    <row r="197" spans="1:8" x14ac:dyDescent="0.25">
      <c r="A197" t="s">
        <v>50</v>
      </c>
      <c r="B197" t="s">
        <v>20</v>
      </c>
      <c r="C197" t="s">
        <v>14</v>
      </c>
      <c r="D197">
        <v>102</v>
      </c>
      <c r="E197">
        <v>15</v>
      </c>
      <c r="F197">
        <v>127.9</v>
      </c>
      <c r="G197">
        <f t="shared" si="6"/>
        <v>25.900000000000006</v>
      </c>
      <c r="H197" t="str">
        <f t="shared" si="7"/>
        <v>NO</v>
      </c>
    </row>
    <row r="198" spans="1:8" x14ac:dyDescent="0.25">
      <c r="A198" t="s">
        <v>50</v>
      </c>
      <c r="B198" t="s">
        <v>20</v>
      </c>
      <c r="C198" t="s">
        <v>15</v>
      </c>
      <c r="D198">
        <v>119</v>
      </c>
      <c r="E198">
        <v>15</v>
      </c>
      <c r="F198">
        <v>127.9</v>
      </c>
      <c r="G198">
        <f t="shared" si="6"/>
        <v>8.9000000000000057</v>
      </c>
      <c r="H198" t="str">
        <f t="shared" si="7"/>
        <v>SI</v>
      </c>
    </row>
    <row r="199" spans="1:8" x14ac:dyDescent="0.25">
      <c r="A199" t="s">
        <v>50</v>
      </c>
      <c r="B199" t="s">
        <v>20</v>
      </c>
      <c r="C199" t="s">
        <v>16</v>
      </c>
      <c r="D199">
        <v>136</v>
      </c>
      <c r="E199">
        <v>15</v>
      </c>
      <c r="F199">
        <v>76.2</v>
      </c>
      <c r="G199">
        <f t="shared" si="6"/>
        <v>59.8</v>
      </c>
      <c r="H199" t="str">
        <f t="shared" si="7"/>
        <v>NO</v>
      </c>
    </row>
    <row r="200" spans="1:8" x14ac:dyDescent="0.25">
      <c r="A200" t="s">
        <v>50</v>
      </c>
      <c r="B200" t="s">
        <v>20</v>
      </c>
      <c r="C200" t="s">
        <v>17</v>
      </c>
      <c r="D200">
        <v>153</v>
      </c>
      <c r="E200">
        <v>15</v>
      </c>
      <c r="F200">
        <v>159.80000000000001</v>
      </c>
      <c r="G200">
        <f t="shared" si="6"/>
        <v>6.8000000000000114</v>
      </c>
      <c r="H200" t="str">
        <f t="shared" si="7"/>
        <v>SI</v>
      </c>
    </row>
    <row r="201" spans="1:8" x14ac:dyDescent="0.25">
      <c r="A201" t="s">
        <v>50</v>
      </c>
      <c r="B201" t="s">
        <v>20</v>
      </c>
      <c r="C201" t="s">
        <v>18</v>
      </c>
      <c r="D201">
        <v>169</v>
      </c>
      <c r="E201">
        <v>15</v>
      </c>
      <c r="F201">
        <v>76.5</v>
      </c>
      <c r="G201">
        <f t="shared" si="6"/>
        <v>92.5</v>
      </c>
      <c r="H201" t="str">
        <f t="shared" si="7"/>
        <v>NO</v>
      </c>
    </row>
    <row r="202" spans="1:8" x14ac:dyDescent="0.25">
      <c r="A202" t="s">
        <v>50</v>
      </c>
      <c r="B202" t="s">
        <v>20</v>
      </c>
      <c r="C202" t="s">
        <v>19</v>
      </c>
      <c r="D202">
        <v>185</v>
      </c>
      <c r="E202">
        <v>15</v>
      </c>
      <c r="F202">
        <v>76.2</v>
      </c>
      <c r="G202">
        <f t="shared" si="6"/>
        <v>108.8</v>
      </c>
      <c r="H202" t="str">
        <f t="shared" si="7"/>
        <v>NO</v>
      </c>
    </row>
    <row r="203" spans="1:8" x14ac:dyDescent="0.25">
      <c r="A203" t="s">
        <v>52</v>
      </c>
      <c r="B203" t="s">
        <v>20</v>
      </c>
      <c r="C203" t="s">
        <v>8</v>
      </c>
      <c r="D203">
        <v>18</v>
      </c>
      <c r="E203">
        <v>15</v>
      </c>
      <c r="F203">
        <v>155.5</v>
      </c>
      <c r="G203">
        <f t="shared" si="6"/>
        <v>137.5</v>
      </c>
      <c r="H203" t="str">
        <f t="shared" si="7"/>
        <v>NO</v>
      </c>
    </row>
    <row r="204" spans="1:8" x14ac:dyDescent="0.25">
      <c r="A204" t="s">
        <v>52</v>
      </c>
      <c r="B204" t="s">
        <v>20</v>
      </c>
      <c r="C204" t="s">
        <v>9</v>
      </c>
      <c r="D204">
        <v>32</v>
      </c>
      <c r="E204">
        <v>15</v>
      </c>
      <c r="F204">
        <v>155.6</v>
      </c>
      <c r="G204">
        <f t="shared" si="6"/>
        <v>123.6</v>
      </c>
      <c r="H204" t="str">
        <f t="shared" si="7"/>
        <v>NO</v>
      </c>
    </row>
    <row r="205" spans="1:8" x14ac:dyDescent="0.25">
      <c r="A205" t="s">
        <v>52</v>
      </c>
      <c r="B205" t="s">
        <v>20</v>
      </c>
      <c r="C205" t="s">
        <v>10</v>
      </c>
      <c r="D205">
        <v>48</v>
      </c>
      <c r="E205">
        <v>15</v>
      </c>
      <c r="F205">
        <v>155.6</v>
      </c>
      <c r="G205">
        <f t="shared" si="6"/>
        <v>107.6</v>
      </c>
      <c r="H205" t="str">
        <f t="shared" si="7"/>
        <v>NO</v>
      </c>
    </row>
    <row r="206" spans="1:8" x14ac:dyDescent="0.25">
      <c r="A206" t="s">
        <v>52</v>
      </c>
      <c r="B206" t="s">
        <v>20</v>
      </c>
      <c r="C206" t="s">
        <v>11</v>
      </c>
      <c r="D206">
        <v>62</v>
      </c>
      <c r="E206">
        <v>15</v>
      </c>
      <c r="F206">
        <v>155.6</v>
      </c>
      <c r="G206">
        <f t="shared" si="6"/>
        <v>93.6</v>
      </c>
      <c r="H206" t="str">
        <f t="shared" si="7"/>
        <v>NO</v>
      </c>
    </row>
    <row r="207" spans="1:8" x14ac:dyDescent="0.25">
      <c r="A207" t="s">
        <v>52</v>
      </c>
      <c r="B207" t="s">
        <v>20</v>
      </c>
      <c r="C207" t="s">
        <v>12</v>
      </c>
      <c r="D207">
        <v>78</v>
      </c>
      <c r="E207">
        <v>15</v>
      </c>
      <c r="F207">
        <v>155.6</v>
      </c>
      <c r="G207">
        <f t="shared" si="6"/>
        <v>77.599999999999994</v>
      </c>
      <c r="H207" t="str">
        <f t="shared" si="7"/>
        <v>NO</v>
      </c>
    </row>
    <row r="208" spans="1:8" x14ac:dyDescent="0.25">
      <c r="A208" t="s">
        <v>52</v>
      </c>
      <c r="B208" t="s">
        <v>20</v>
      </c>
      <c r="C208" t="s">
        <v>13</v>
      </c>
      <c r="D208">
        <v>93</v>
      </c>
      <c r="E208">
        <v>15</v>
      </c>
      <c r="F208">
        <v>176.9</v>
      </c>
      <c r="G208">
        <f t="shared" si="6"/>
        <v>83.9</v>
      </c>
      <c r="H208" t="str">
        <f t="shared" si="7"/>
        <v>NO</v>
      </c>
    </row>
    <row r="209" spans="1:8" x14ac:dyDescent="0.25">
      <c r="A209" t="s">
        <v>52</v>
      </c>
      <c r="B209" t="s">
        <v>20</v>
      </c>
      <c r="C209" t="s">
        <v>14</v>
      </c>
      <c r="D209">
        <v>107</v>
      </c>
      <c r="E209">
        <v>15</v>
      </c>
      <c r="F209">
        <v>155.6</v>
      </c>
      <c r="G209">
        <f t="shared" si="6"/>
        <v>48.599999999999994</v>
      </c>
      <c r="H209" t="str">
        <f t="shared" si="7"/>
        <v>NO</v>
      </c>
    </row>
    <row r="210" spans="1:8" x14ac:dyDescent="0.25">
      <c r="A210" t="s">
        <v>52</v>
      </c>
      <c r="B210" t="s">
        <v>20</v>
      </c>
      <c r="C210" t="s">
        <v>15</v>
      </c>
      <c r="D210">
        <v>123</v>
      </c>
      <c r="E210">
        <v>15</v>
      </c>
      <c r="F210">
        <v>155.6</v>
      </c>
      <c r="G210">
        <f t="shared" si="6"/>
        <v>32.599999999999994</v>
      </c>
      <c r="H210" t="str">
        <f t="shared" si="7"/>
        <v>NO</v>
      </c>
    </row>
    <row r="211" spans="1:8" x14ac:dyDescent="0.25">
      <c r="A211" t="s">
        <v>52</v>
      </c>
      <c r="B211" t="s">
        <v>20</v>
      </c>
      <c r="C211" t="s">
        <v>16</v>
      </c>
      <c r="D211">
        <v>138</v>
      </c>
      <c r="E211">
        <v>15</v>
      </c>
      <c r="F211">
        <v>155.6</v>
      </c>
      <c r="G211">
        <f t="shared" si="6"/>
        <v>17.599999999999994</v>
      </c>
      <c r="H211" t="str">
        <f t="shared" si="7"/>
        <v>NO</v>
      </c>
    </row>
    <row r="212" spans="1:8" x14ac:dyDescent="0.25">
      <c r="A212" t="s">
        <v>52</v>
      </c>
      <c r="B212" t="s">
        <v>20</v>
      </c>
      <c r="C212" t="s">
        <v>17</v>
      </c>
      <c r="D212">
        <v>153</v>
      </c>
      <c r="E212">
        <v>15</v>
      </c>
      <c r="F212">
        <v>155.6</v>
      </c>
      <c r="G212">
        <f t="shared" si="6"/>
        <v>2.5999999999999943</v>
      </c>
      <c r="H212" t="str">
        <f t="shared" si="7"/>
        <v>SI</v>
      </c>
    </row>
    <row r="213" spans="1:8" x14ac:dyDescent="0.25">
      <c r="A213" t="s">
        <v>52</v>
      </c>
      <c r="B213" t="s">
        <v>20</v>
      </c>
      <c r="C213" t="s">
        <v>18</v>
      </c>
      <c r="D213">
        <v>168</v>
      </c>
      <c r="E213">
        <v>10</v>
      </c>
      <c r="F213">
        <v>176.8</v>
      </c>
      <c r="G213">
        <f t="shared" si="6"/>
        <v>8.8000000000000114</v>
      </c>
      <c r="H213" t="str">
        <f t="shared" si="7"/>
        <v>SI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Benjamín Villalobos Campos (jose.villalobos.c)</cp:lastModifiedBy>
  <dcterms:created xsi:type="dcterms:W3CDTF">2025-07-15T05:51:25Z</dcterms:created>
  <dcterms:modified xsi:type="dcterms:W3CDTF">2025-07-15T06:21:40Z</dcterms:modified>
</cp:coreProperties>
</file>